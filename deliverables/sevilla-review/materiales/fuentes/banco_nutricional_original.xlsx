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commentsmeta2"/>
  <Override ContentType="application/binary" PartName="/xl/metadata"/>
  <Override ContentType="application/binary" PartName="/xl/commentsmeta0"/>
  <Override ContentType="application/binary" PartName="/xl/commentsmeta1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ezclas" sheetId="1" r:id="rId4"/>
    <sheet state="visible" name="T.N" sheetId="2" r:id="rId5"/>
    <sheet state="visible" name="TN OFICIAL" sheetId="3" r:id="rId6"/>
  </sheets>
  <definedNames>
    <definedName hidden="1" localSheetId="1" name="_xlnm._FilterDatabase">T.N!$C$2:$C$140</definedName>
    <definedName hidden="1" localSheetId="2" name="_xlnm._FilterDatabase">'TN OFICIAL'!$C$2:$C$134</definedName>
  </definedNames>
  <calcPr/>
  <extLst>
    <ext uri="GoogleSheetsCustomDataVersion2">
      <go:sheetsCustomData xmlns:go="http://customooxmlschemas.google.com/" r:id="rId7" roundtripDataChecksum="FHDJ7tgl6csnuFrf8e210LlvFUX2va2KC7KWjw8BQNQ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D1">
      <text>
        <t xml:space="preserve">======
ID#AAACF8GrYnA
INVEDESARROLLO    (2026-08-25 17:10:00)
DMU: 3000 ppm</t>
      </text>
    </comment>
  </commentList>
  <extLst>
    <ext uri="GoogleSheetsCustomDataVersion2">
      <go:sheetsCustomData xmlns:go="http://customooxmlschemas.google.com/" r:id="rId1" roundtripDataSignature="AMtx7mgSWqdKANK/mQAEAb9ibuHKfhKfgw=="/>
    </ext>
  </extL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O47">
      <text>
        <t xml:space="preserve">======
ID#AAACF8GrYoc
INV DESARROLLO    (2026-08-25 17:10:00)
Saca 40% a 38781 del ICBF</t>
      </text>
    </comment>
    <comment authorId="0" ref="C128">
      <text>
        <t xml:space="preserve">======
ID#AAACF8GrYnM
tc={5821A6C1-A50A-44E1-B140-9E76191300F9}    (2026-08-25 17:10:00)
[Threaded comment]
Your version of Excel allows you to read this threaded comment; however, any edits to it will get removed if the file is opened in a newer version of Excel. Learn more: https://go.microsoft.com/fwlink/?linkid=870924
Comment:
    Sabor idéntico al natural</t>
      </text>
    </comment>
    <comment authorId="0" ref="C31">
      <text>
        <t xml:space="preserve">======
ID#AAACF8GrYm4
INV DESARROLLO    (2026-08-25 17:10:00)
Arcon T</t>
      </text>
    </comment>
    <comment authorId="0" ref="C126">
      <text>
        <t xml:space="preserve">======
ID#AAACF8GrYnc
tc={BA66EE76-485B-494C-AF4D-4732593D428E}    (2026-08-25 17:10:00)
[Threaded comment]
Your version of Excel allows you to read this threaded comment; however, any edits to it will get removed if the file is opened in a newer version of Excel. Learn more: https://go.microsoft.com/fwlink/?linkid=870924
Comment:
    Sabor natural a Barbacoa</t>
      </text>
    </comment>
    <comment authorId="0" ref="C30">
      <text>
        <t xml:space="preserve">======
ID#AAACF8GrYng
INV DESARROLLO    (2026-08-25 17:10:00)
Arcon SM</t>
      </text>
    </comment>
    <comment authorId="0" ref="C125">
      <text>
        <t xml:space="preserve">======
ID#AAACF8GrYoY
tc={DC2ED628-F753-4961-B656-AD3E62474EE2}    (2026-08-25 17:10:00)
[Threaded comment]
Your version of Excel allows you to read this threaded comment; however, any edits to it will get removed if the file is opened in a newer version of Excel. Learn more: https://go.microsoft.com/fwlink/?linkid=870924
Comment:
    Sabor Idéntico al natural a  Cervecero</t>
      </text>
    </comment>
    <comment authorId="0" ref="K132">
      <text>
        <t xml:space="preserve">======
ID#AAACF8GrYnw
INV DESARROLLO    (2026-08-25 17:10:00)
CUANDO APARECEMENOR QUE, es cerom por metodo analitico</t>
      </text>
    </comment>
    <comment authorId="0" ref="C124">
      <text>
        <t xml:space="preserve">======
ID#AAACF8GrYnE
tc={B8EC44DD-8E85-4322-806A-1DBAF46252E6}    (2026-08-25 17:10:00)
[Threaded comment]
Your version of Excel allows you to read this threaded comment; however, any edits to it will get removed if the file is opened in a newer version of Excel. Learn more: https://go.microsoft.com/fwlink/?linkid=870924
Comment:
    Sabor artificial a salchichón</t>
      </text>
    </comment>
    <comment authorId="0" ref="C123">
      <text>
        <t xml:space="preserve">======
ID#AAACF8GrYmk
tc={8B5F5786-6CF1-4AD6-A928-46B11931401B}    (2026-08-25 17:10:00)
[Threaded comment]
Your version of Excel allows you to read this threaded comment; however, any edits to it will get removed if the file is opened in a newer version of Excel. Learn more: https://go.microsoft.com/fwlink/?linkid=870924
Comment:
    Sabor natural a chorizo</t>
      </text>
    </comment>
    <comment authorId="0" ref="W109">
      <text>
        <t xml:space="preserve">======
ID#AAACF8GrYnU
INV DESARROLLO    (2026-08-25 17:10:00)
Na5P3O10</t>
      </text>
    </comment>
    <comment authorId="0" ref="C56">
      <text>
        <t xml:space="preserve">======
ID#AAACF8GrYog
tc={E2F4B60D-B1AF-4454-A778-EDDB9B889230}    (2026-08-25 17:10:00)
[Threaded comment]
Your version of Excel allows you to read this threaded comment; however, any edits to it will get removed if the file is opened in a newer version of Excel. Learn more: https://go.microsoft.com/fwlink/?linkid=870924
Comment:
    Acetato de sodio</t>
      </text>
    </comment>
    <comment authorId="0" ref="U95">
      <text>
        <t xml:space="preserve">======
ID#AAACF8GrYmg
tc={D4F9F7D4-7EE3-49FE-9031-26A803646F9A}    (2026-08-25 17:10:00)
[Threaded comment]
Your version of Excel allows you to read this threaded comment; however, any edits to it will get removed if the file is opened in a newer version of Excel. Learn more: https://go.microsoft.com/fwlink/?linkid=870924
Comment:
    Análisis de laboratorio</t>
      </text>
    </comment>
    <comment authorId="0" ref="W96">
      <text>
        <t xml:space="preserve">======
ID#AAACF8GrYok
INV DESARROLLO    (2026-08-25 17:10:00)
P2O5</t>
      </text>
    </comment>
    <comment authorId="0" ref="C106">
      <text>
        <t xml:space="preserve">======
ID#AAACF8GrYoU
tc={853948F8-CF9B-4279-AAF6-DC4B96065086}    (2026-08-25 17:10:00)
[Threaded comment]
Your version of Excel allows you to read this threaded comment; however, any edits to it will get removed if the file is opened in a newer version of Excel. Learn more: https://go.microsoft.com/fwlink/?linkid=870924
Comment:
    Aroma idéntico al natural</t>
      </text>
    </comment>
    <comment authorId="0" ref="W94">
      <text>
        <t xml:space="preserve">======
ID#AAACF8GrYnY
INV DESARROLLO    (2026-08-25 17:10:00)
P2O5</t>
      </text>
    </comment>
    <comment authorId="0" ref="C135">
      <text>
        <t xml:space="preserve">======
ID#AAACF8GrYm0
INV DESARROLLO    (2026-08-25 17:10:00)
curcumina, annato, carmín</t>
      </text>
    </comment>
    <comment authorId="0" ref="C134">
      <text>
        <t xml:space="preserve">======
ID#AAACF8GrYoo
INV DESARROLLO    (2026-08-25 17:10:00)
ANNATO, CARMIN, CURCUMINA</t>
      </text>
    </comment>
    <comment authorId="0" ref="AE2">
      <text>
        <t xml:space="preserve">======
ID#AAACF8GrYn8
INVEDESARROLLO    (2026-08-25 17:10:00)
DMU: 3000 ppm</t>
      </text>
    </comment>
  </commentList>
  <extLst>
    <ext uri="GoogleSheetsCustomDataVersion2">
      <go:sheetsCustomData xmlns:go="http://customooxmlschemas.google.com/" r:id="rId1" roundtripDataSignature="AMtx7mjawM4TK6uXZnr7AQjjUqIzZBUPJw=="/>
    </ext>
  </extL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131">
      <text>
        <t xml:space="preserve">======
ID#AAACF8GrYm8
INV DESARROLLO    (2026-08-25 17:10:00)
ANNATO, CARMIN, CURCUMINA</t>
      </text>
    </comment>
    <comment authorId="0" ref="O41">
      <text>
        <t xml:space="preserve">======
ID#AAACF8GrYoE
INV DESARROLLO    (2026-08-25 17:10:00)
Saca 40% a 38781 del ICBF</t>
      </text>
    </comment>
    <comment authorId="0" ref="C125">
      <text>
        <t xml:space="preserve">======
ID#AAACF8GrYms
tc={C0D059F1-3AEE-4120-823F-BEA4CA8682D7}    (2026-08-25 17:10:00)
[Threaded comment]
Your version of Excel allows you to read this threaded comment; however, any edits to it will get removed if the file is opened in a newer version of Excel. Learn more: https://go.microsoft.com/fwlink/?linkid=870924
Comment:
    Sabor idéntico al natural</t>
      </text>
    </comment>
    <comment authorId="0" ref="C27">
      <text>
        <t xml:space="preserve">======
ID#AAACF8GrYoA
INV DESARROLLO    (2026-08-25 17:10:00)
Arcon T</t>
      </text>
    </comment>
    <comment authorId="0" ref="C123">
      <text>
        <t xml:space="preserve">======
ID#AAACF8GrYno
tc={478BFC11-9DD3-4A24-ACC2-64CB93563D79}    (2026-08-25 17:10:00)
[Threaded comment]
Your version of Excel allows you to read this threaded comment; however, any edits to it will get removed if the file is opened in a newer version of Excel. Learn more: https://go.microsoft.com/fwlink/?linkid=870924
Comment:
    Sabor natural a Barbacoa</t>
      </text>
    </comment>
    <comment authorId="0" ref="C122">
      <text>
        <t xml:space="preserve">======
ID#AAACF8GrYos
tc={5E503D3E-F3C8-4BD0-B7AC-514084C42620}    (2026-08-25 17:10:00)
[Threaded comment]
Your version of Excel allows you to read this threaded comment; however, any edits to it will get removed if the file is opened in a newer version of Excel. Learn more: https://go.microsoft.com/fwlink/?linkid=870924
Comment:
    Sabor Idéntico al natural a  Cervecero</t>
      </text>
    </comment>
    <comment authorId="0" ref="C26">
      <text>
        <t xml:space="preserve">======
ID#AAACF8GrYnk
INV DESARROLLO    (2026-08-25 17:10:00)
Arcon SM</t>
      </text>
    </comment>
    <comment authorId="0" ref="C121">
      <text>
        <t xml:space="preserve">======
ID#AAACF8GrYnQ
tc={CF5CE17C-0D5F-414C-9618-789B5BEE915C}    (2026-08-25 17:10:00)
[Threaded comment]
Your version of Excel allows you to read this threaded comment; however, any edits to it will get removed if the file is opened in a newer version of Excel. Learn more: https://go.microsoft.com/fwlink/?linkid=870924
Comment:
    Sabor artificial a salchichón</t>
      </text>
    </comment>
    <comment authorId="0" ref="K129">
      <text>
        <t xml:space="preserve">======
ID#AAACF8GrYmw
INV DESARROLLO    (2026-08-25 17:10:00)
CUANDO APARECEMENOR QUE, es cerom por metodo analitico</t>
      </text>
    </comment>
    <comment authorId="0" ref="C120">
      <text>
        <t xml:space="preserve">======
ID#AAACF8GrYn4
tc={DD9B318B-596A-4476-BD88-55BC388515F6}    (2026-08-25 17:10:00)
[Threaded comment]
Your version of Excel allows you to read this threaded comment; however, any edits to it will get removed if the file is opened in a newer version of Excel. Learn more: https://go.microsoft.com/fwlink/?linkid=870924
Comment:
    Sabor natural a chorizo</t>
      </text>
    </comment>
    <comment authorId="0" ref="W106">
      <text>
        <t xml:space="preserve">======
ID#AAACF8GrYoM
INV DESARROLLO    (2026-08-25 17:10:00)
Na5P3O10</t>
      </text>
    </comment>
    <comment authorId="0" ref="C50">
      <text>
        <t xml:space="preserve">======
ID#AAACF8GrYmo
tc={777563C3-5094-4C26-8F38-FC2DA1339BD2}    (2026-08-25 17:10:00)
[Threaded comment]
Your version of Excel allows you to read this threaded comment; however, any edits to it will get removed if the file is opened in a newer version of Excel. Learn more: https://go.microsoft.com/fwlink/?linkid=870924
Comment:
    Acetato de sodio</t>
      </text>
    </comment>
    <comment authorId="0" ref="U92">
      <text>
        <t xml:space="preserve">======
ID#AAACF8GrYnI
tc={DA0A8A2A-0B02-472A-B24D-8A45BC197C5F}    (2026-08-25 17:10:00)
[Threaded comment]
Your version of Excel allows you to read this threaded comment; however, any edits to it will get removed if the file is opened in a newer version of Excel. Learn more: https://go.microsoft.com/fwlink/?linkid=870924
Comment:
    Análisis de laboratorio</t>
      </text>
    </comment>
    <comment authorId="0" ref="W93">
      <text>
        <t xml:space="preserve">======
ID#AAACF8GrYn0
INV DESARROLLO    (2026-08-25 17:10:00)
P2O5</t>
      </text>
    </comment>
    <comment authorId="0" ref="C103">
      <text>
        <t xml:space="preserve">======
ID#AAACF8GrYns
tc={5F637B57-3D1D-42DC-A327-FA3E002045C3}    (2026-08-25 17:10:00)
[Threaded comment]
Your version of Excel allows you to read this threaded comment; however, any edits to it will get removed if the file is opened in a newer version of Excel. Learn more: https://go.microsoft.com/fwlink/?linkid=870924
Comment:
    Aroma idéntico al natural</t>
      </text>
    </comment>
    <comment authorId="0" ref="W91">
      <text>
        <t xml:space="preserve">======
ID#AAACF8GrYmc
INV DESARROLLO    (2026-08-25 17:10:00)
P2O5</t>
      </text>
    </comment>
    <comment authorId="0" ref="AE2">
      <text>
        <t xml:space="preserve">======
ID#AAACF8GrYoI
INVEDESARROLLO    (2026-08-25 17:10:00)
DMU: 3000 ppm</t>
      </text>
    </comment>
    <comment authorId="0" ref="C132">
      <text>
        <t xml:space="preserve">======
ID#AAACF8GrYoQ
INV DESARROLLO    (2026-08-25 17:10:00)
curcumina, annato, carmín</t>
      </text>
    </comment>
  </commentList>
  <extLst>
    <ext uri="GoogleSheetsCustomDataVersion2">
      <go:sheetsCustomData xmlns:go="http://customooxmlschemas.google.com/" r:id="rId1" roundtripDataSignature="AMtx7mgmmQrMBNoDFYfmB3l7dDiog2H9MQ=="/>
    </ext>
  </extLst>
</comments>
</file>

<file path=xl/sharedStrings.xml><?xml version="1.0" encoding="utf-8"?>
<sst xmlns="http://schemas.openxmlformats.org/spreadsheetml/2006/main" count="722" uniqueCount="220">
  <si>
    <t>INGREDIENTE</t>
  </si>
  <si>
    <t>HUMEDAD</t>
  </si>
  <si>
    <t>GRASA (g)</t>
  </si>
  <si>
    <t>GRASA SATURADA (g)</t>
  </si>
  <si>
    <t>GRASA TRANS (g)</t>
  </si>
  <si>
    <t>COLESTEROL (mg)</t>
  </si>
  <si>
    <t>PROTEÍNA (g)</t>
  </si>
  <si>
    <t>CHO (g)</t>
  </si>
  <si>
    <t>AZ TOTALES (g)</t>
  </si>
  <si>
    <t>AZ. AÑADIDO (g)</t>
  </si>
  <si>
    <t>ALMIDÓN</t>
  </si>
  <si>
    <t>FIBRA (g)</t>
  </si>
  <si>
    <t>SODIO (mg)</t>
  </si>
  <si>
    <t>CALCIO (mg)</t>
  </si>
  <si>
    <t>HIERRO (mg)</t>
  </si>
  <si>
    <t>ZINC (mg)</t>
  </si>
  <si>
    <t>VIT. A
(ug ER)</t>
  </si>
  <si>
    <t>VIT. D (ug)</t>
  </si>
  <si>
    <t>%NaCl</t>
  </si>
  <si>
    <t>% NO2</t>
  </si>
  <si>
    <t>% FOS</t>
  </si>
  <si>
    <t>FÓSFORO (mg/100 g pt)</t>
  </si>
  <si>
    <t>% ERITORBATO</t>
  </si>
  <si>
    <t>% NISINA</t>
  </si>
  <si>
    <t>% COLORANTE</t>
  </si>
  <si>
    <t>%ÁCIDO SÓRBICO</t>
  </si>
  <si>
    <t>% ALGINATO DE CALCIO</t>
  </si>
  <si>
    <t>%KCL</t>
  </si>
  <si>
    <t>% GLUCONO DELTA LACTONA</t>
  </si>
  <si>
    <t>% Proteína de Soya</t>
  </si>
  <si>
    <t>%Proteína de cerdo</t>
  </si>
  <si>
    <t>% ACETATO DE SODIO</t>
  </si>
  <si>
    <t>% ÁCIDO MÁLICO</t>
  </si>
  <si>
    <t>SULFITO ppm</t>
  </si>
  <si>
    <t>ALÉRGENOS</t>
  </si>
  <si>
    <t>Recorte 80/20
+
Emulsión</t>
  </si>
  <si>
    <t>Mezcla 50/50</t>
  </si>
  <si>
    <t>Mezcla 60/40</t>
  </si>
  <si>
    <t>Mezcla 70/30</t>
  </si>
  <si>
    <t>https://fdc.nal.usda.gov/fdc-app.html#/food-details/169190/nutrients</t>
  </si>
  <si>
    <t>Recorte 72/28
+
Emulsión</t>
  </si>
  <si>
    <t>MPC</t>
  </si>
  <si>
    <t>Brazuelo de Cerdo</t>
  </si>
  <si>
    <t>Pork, fresh, loin, top loin (roasts), boneless, separable lean and fat, raw - Nutrients - SR Legacy | USDA FoodData Central</t>
  </si>
  <si>
    <t>Brazuelo + Emulsión</t>
  </si>
  <si>
    <t>Brazuelo de Cerdo (sin charquear)</t>
  </si>
  <si>
    <t>OBJETIVO</t>
  </si>
  <si>
    <t>Pasta de Pollo</t>
  </si>
  <si>
    <t>https://fdc.nal.usda.gov/fdc-app.html#/food-details/171105/nutrients</t>
  </si>
  <si>
    <t>ICBF</t>
  </si>
  <si>
    <t>Tocino de Cerdo</t>
  </si>
  <si>
    <t>https://fdc.nal.usda.gov/fdc-app.html#/food-details/172855/nutrients</t>
  </si>
  <si>
    <t>Piel de Pollo</t>
  </si>
  <si>
    <t>https://fdc.nal.usda.gov/fdc-app.html#/food-details/168224/nutrients</t>
  </si>
  <si>
    <t xml:space="preserve">Pierna de Cerdo </t>
  </si>
  <si>
    <t>https://fdc.nal.usda.gov/food-details/167814/nutrients</t>
  </si>
  <si>
    <t>Pierna de Cerdo (sin charquear)</t>
  </si>
  <si>
    <t>https://fdc.nal.usda.gov/fdc-app.html#/food-details/167888/nutrients</t>
  </si>
  <si>
    <t>Recorte 80 - 20</t>
  </si>
  <si>
    <t>Reproceso Mortadela</t>
  </si>
  <si>
    <t>SOYA</t>
  </si>
  <si>
    <t>LAB</t>
  </si>
  <si>
    <t>Piel de Cerdo</t>
  </si>
  <si>
    <t>MPC/Proteína</t>
  </si>
  <si>
    <t>Emulsión de Piel de Cerdo</t>
  </si>
  <si>
    <t>https://fdc.nal.usda.gov/fdc-app.html#/food-details/614990/nutrients</t>
  </si>
  <si>
    <t>Repele (Recorte 72 - 28)</t>
  </si>
  <si>
    <t>https://fdc.nal.usda.gov/fdc-app.html#/food-details/175290/nutrients</t>
  </si>
  <si>
    <t>Carne de Ternera</t>
  </si>
  <si>
    <t>CTN</t>
  </si>
  <si>
    <t>Carne de Ternera al 40%</t>
  </si>
  <si>
    <t>https://fdc.nal.usda.gov/fdc-app.html#/food-details/2646170/nutrients</t>
  </si>
  <si>
    <t>Pechuga de Pollo</t>
  </si>
  <si>
    <t>https://fdc.nal.usda.gov/fdc-app.html#/food-details/2341308/nutrients</t>
  </si>
  <si>
    <t>Piel de cerdo</t>
  </si>
  <si>
    <t>https://fdc.nal.usda.gov/food-details/171401/nutrients</t>
  </si>
  <si>
    <t>Grasa empella</t>
  </si>
  <si>
    <t>https://fdc.nal.usda.gov/fdc-app.html#/food-details/168269/nutrients</t>
  </si>
  <si>
    <t>Papada de cerdo</t>
  </si>
  <si>
    <t>Brazuelo de Cerdo al 10%</t>
  </si>
  <si>
    <t>https://fdc.nal.usda.gov/fdc-app.html#/food-details/167812/nutrients</t>
  </si>
  <si>
    <t>Barriguero de cerdo</t>
  </si>
  <si>
    <t>Brazuelo de Cerdo al 15%</t>
  </si>
  <si>
    <t>https://fdc.nal.usda.gov/food-details/174740/nutrients</t>
  </si>
  <si>
    <t>Falda de res</t>
  </si>
  <si>
    <t>Recorte 80 - 20 al 15%</t>
  </si>
  <si>
    <t>Reproceso Jamón de Cerdo</t>
  </si>
  <si>
    <t>Proteína</t>
  </si>
  <si>
    <t>Hemoglobina de Cerdo</t>
  </si>
  <si>
    <t>Proteína concentrada de Soya al 70%</t>
  </si>
  <si>
    <t>Proteína texturizada de Soya al 70%</t>
  </si>
  <si>
    <t>Proteína concentrada de Soya al 65%</t>
  </si>
  <si>
    <t>Brazuelo de cerdo al  20%</t>
  </si>
  <si>
    <t>Colagénico de alta funcionalidad V-pro 95</t>
  </si>
  <si>
    <t>PVH Líquida</t>
  </si>
  <si>
    <t>Proteína texturizada de trigo snips</t>
  </si>
  <si>
    <t>GLUTEN</t>
  </si>
  <si>
    <t>Gránulos</t>
  </si>
  <si>
    <t>Gránulos Hidratados</t>
  </si>
  <si>
    <t>Proteína texturizada de trigo</t>
  </si>
  <si>
    <t>Proteína aislada de soya Wilpro I200</t>
  </si>
  <si>
    <t>Extracto GP83P</t>
  </si>
  <si>
    <t>Plasma de cerdo Vepro 75 PSC</t>
  </si>
  <si>
    <t>Plasma de cerdo</t>
  </si>
  <si>
    <t>https://fdc.nal.usda.gov/fdc-app.html#/food-details/173647/nutrients</t>
  </si>
  <si>
    <t>Agua</t>
  </si>
  <si>
    <t>MPNC</t>
  </si>
  <si>
    <t>Sal</t>
  </si>
  <si>
    <t>Extracto LC 300</t>
  </si>
  <si>
    <t>Sal reducida en sodio (60%)</t>
  </si>
  <si>
    <t>Supramix (sodio al 50%)</t>
  </si>
  <si>
    <t>Dextrosa</t>
  </si>
  <si>
    <t>Eritorbato de Sodio</t>
  </si>
  <si>
    <t>Carragenina</t>
  </si>
  <si>
    <t>Plasma de cerdo PP70M</t>
  </si>
  <si>
    <t>Almidón de Papa</t>
  </si>
  <si>
    <t>Almidón de Yuca</t>
  </si>
  <si>
    <t>Solutex grasas</t>
  </si>
  <si>
    <t>Extracto levadura</t>
  </si>
  <si>
    <t>Bombal Fresh Amba oS</t>
  </si>
  <si>
    <t>POK</t>
  </si>
  <si>
    <t>Azúcar</t>
  </si>
  <si>
    <t>Almidón modificado de maíz</t>
  </si>
  <si>
    <t>Apanado</t>
  </si>
  <si>
    <t>Batido</t>
  </si>
  <si>
    <t>Ablandador (Soft skin opti)</t>
  </si>
  <si>
    <t>Neutralizador (Neutra opti)</t>
  </si>
  <si>
    <t>https://fdc.nal.usda.gov/fdc-app.html#/food-details/172237/nutrients</t>
  </si>
  <si>
    <t>Vinagre</t>
  </si>
  <si>
    <t>Transglutaminasa</t>
  </si>
  <si>
    <t>Burguer Meat</t>
  </si>
  <si>
    <t>LACTOSA, SULFITOS</t>
  </si>
  <si>
    <t>Transglutaminasa Meat Plus 874</t>
  </si>
  <si>
    <t>Transglutaminasa Prolink MB-MM</t>
  </si>
  <si>
    <t>Condim. Y Especia</t>
  </si>
  <si>
    <t>Cebolla en polvo</t>
  </si>
  <si>
    <t>Paprika en polvo</t>
  </si>
  <si>
    <t>Ajo molido</t>
  </si>
  <si>
    <t>Pimienta negra en polvo</t>
  </si>
  <si>
    <t>Comino en polvo</t>
  </si>
  <si>
    <t>Cilantro en polvo</t>
  </si>
  <si>
    <t>Pimienta blanca en polvo</t>
  </si>
  <si>
    <t>https://fdc.nal.usda.gov/fdc-app.html#/food-details/169246/nutrients</t>
  </si>
  <si>
    <t>Cebolla Puerro</t>
  </si>
  <si>
    <t>https://fdc.nal.usda.gov/fdc-app.html#/food-details/170461/nutrients</t>
  </si>
  <si>
    <t>Tomate en polvo</t>
  </si>
  <si>
    <t>https://fdc.nal.usda.gov/fdc-app.html#/food-details/170932/nutrients</t>
  </si>
  <si>
    <t>Pimienta cayena en polvo</t>
  </si>
  <si>
    <t>Transglutaminasa Prolink</t>
  </si>
  <si>
    <t>https://fdc.nal.usda.gov/food-details/170930/nutrients</t>
  </si>
  <si>
    <t>Perejil molido</t>
  </si>
  <si>
    <t>https://fdc.nal.usda.gov/food-details/171328/nutrients</t>
  </si>
  <si>
    <t>Orégano molido</t>
  </si>
  <si>
    <t>https://fdc.nal.usda.gov/food-details/170938/nutrients</t>
  </si>
  <si>
    <t>Tomillo molido</t>
  </si>
  <si>
    <t>https://fdc.nal.usda.gov/food-details/171326/nutrients</t>
  </si>
  <si>
    <t>Nuez moscada</t>
  </si>
  <si>
    <t>https://fdc.nal.usda.gov/food-details/171321/nutrients</t>
  </si>
  <si>
    <t>Clavo de olor</t>
  </si>
  <si>
    <t>Pimenton picante</t>
  </si>
  <si>
    <t>Conservante</t>
  </si>
  <si>
    <t>Nisina (Conquímica)</t>
  </si>
  <si>
    <t>Nisina (Handary)</t>
  </si>
  <si>
    <t>Sal curante</t>
  </si>
  <si>
    <t>INBAC sin sal</t>
  </si>
  <si>
    <t>Acetato de Potasio</t>
  </si>
  <si>
    <t>Bombal VNX</t>
  </si>
  <si>
    <t>SULFITOS</t>
  </si>
  <si>
    <t>Regulador de acidez</t>
  </si>
  <si>
    <t>Acetato de Sodio</t>
  </si>
  <si>
    <t>Supra meat</t>
  </si>
  <si>
    <t>Carfosel</t>
  </si>
  <si>
    <t>Tari K</t>
  </si>
  <si>
    <t>Provian K (Diacetato de Potasio)</t>
  </si>
  <si>
    <t>Pirofosfato ácido de sodio</t>
  </si>
  <si>
    <t>Glucono Delta Lactona</t>
  </si>
  <si>
    <t>Saborizante</t>
  </si>
  <si>
    <t>Jamón T</t>
  </si>
  <si>
    <t>Taroma Ham</t>
  </si>
  <si>
    <t>Humo Chardex</t>
  </si>
  <si>
    <t>Cebolla Frita</t>
  </si>
  <si>
    <t>Cerdo Cocido</t>
  </si>
  <si>
    <t>Chorizo antioqueño 81110B</t>
  </si>
  <si>
    <t>Salchichón tradicional</t>
  </si>
  <si>
    <t>Chorizo con ternera</t>
  </si>
  <si>
    <t>Cervecero premium SV</t>
  </si>
  <si>
    <t>Trusmoke oil ex</t>
  </si>
  <si>
    <t>Salchicha Manguera</t>
  </si>
  <si>
    <t>Pollo asado</t>
  </si>
  <si>
    <t>Salchichón de Pollo</t>
  </si>
  <si>
    <t>Mezcla para saborizar Salchicha</t>
  </si>
  <si>
    <t>Hot dog</t>
  </si>
  <si>
    <t>Chorizo antioqueño 80489B</t>
  </si>
  <si>
    <t>Mortadela</t>
  </si>
  <si>
    <t>Chorizo de Cerdo</t>
  </si>
  <si>
    <t>Humo TruSmoke Oil</t>
  </si>
  <si>
    <t>Cervecero</t>
  </si>
  <si>
    <t>Trusmoke 25</t>
  </si>
  <si>
    <t>Ahumado tocineta 85812B</t>
  </si>
  <si>
    <t>Condimento Chorizo ME</t>
  </si>
  <si>
    <t>GLUTEN Y SOYA</t>
  </si>
  <si>
    <t>Mezcla liq. Para saborizar salchichón</t>
  </si>
  <si>
    <t>Sabor cervecero premium SV LS</t>
  </si>
  <si>
    <t>Tru BBQ</t>
  </si>
  <si>
    <t>Trusmoke Dry</t>
  </si>
  <si>
    <t>Chorizo Santarrosano 81738C</t>
  </si>
  <si>
    <t>Humo H&amp;B</t>
  </si>
  <si>
    <t>Colorante</t>
  </si>
  <si>
    <t>Linicol</t>
  </si>
  <si>
    <t>Color rojo AC150</t>
  </si>
  <si>
    <t>NaranjaPR80J WD</t>
  </si>
  <si>
    <t>Naranja RA 40-3</t>
  </si>
  <si>
    <t>Color Loy</t>
  </si>
  <si>
    <t>Color Caramelo</t>
  </si>
  <si>
    <t>Cervecero NEO</t>
  </si>
  <si>
    <t>Dioxido de Titanio</t>
  </si>
  <si>
    <t>Rábano rojo</t>
  </si>
  <si>
    <t>?</t>
  </si>
  <si>
    <t>emulsion zenu</t>
  </si>
  <si>
    <t>piel de cerdo zenu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</si>
</sst>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_-* #,##0.000_-;\-* #,##0.000_-;_-* &quot;-&quot;_-;_-@"/>
    <numFmt numFmtId="165" formatCode="0.0"/>
    <numFmt numFmtId="166" formatCode="0.0000"/>
    <numFmt numFmtId="167" formatCode="0.000"/>
    <numFmt numFmtId="168" formatCode="0.00000"/>
    <numFmt numFmtId="169" formatCode="_-* #,##0_-;\-* #,##0_-;_-* &quot;-&quot;??_-;_-@"/>
    <numFmt numFmtId="170" formatCode="_-* #,##0.00_-;\-* #,##0.00_-;_-* &quot;-&quot;??_-;_-@"/>
  </numFmts>
  <fonts count="17">
    <font>
      <sz val="11.0"/>
      <color theme="1"/>
      <name val="Calibri"/>
      <scheme val="minor"/>
    </font>
    <font>
      <b/>
      <sz val="11.0"/>
      <color theme="1"/>
      <name val="Calibri"/>
    </font>
    <font>
      <b/>
      <sz val="8.0"/>
      <color theme="1"/>
      <name val="Century Gothic"/>
    </font>
    <font>
      <sz val="11.0"/>
      <color theme="1"/>
      <name val="Calibri"/>
    </font>
    <font/>
    <font>
      <u/>
      <sz val="11.0"/>
      <color theme="10"/>
      <name val="Calibri"/>
    </font>
    <font>
      <color theme="1"/>
      <name val="Calibri"/>
      <scheme val="minor"/>
    </font>
    <font>
      <sz val="10.0"/>
      <color theme="1"/>
      <name val="Calibri"/>
    </font>
    <font>
      <u/>
      <sz val="11.0"/>
      <color theme="10"/>
      <name val="Calibri"/>
    </font>
    <font>
      <u/>
      <sz val="11.0"/>
      <color rgb="FF0000FF"/>
      <name val="Calibri"/>
    </font>
    <font>
      <u/>
      <sz val="11.0"/>
      <color theme="10"/>
      <name val="Calibri"/>
    </font>
    <font>
      <sz val="10.0"/>
      <color rgb="FF000000"/>
      <name val="Calibri"/>
    </font>
    <font>
      <u/>
      <sz val="11.0"/>
      <color theme="10"/>
      <name val="Calibri"/>
    </font>
    <font>
      <sz val="11.0"/>
      <color rgb="FF000000"/>
      <name val="Calibri"/>
    </font>
    <font>
      <u/>
      <sz val="11.0"/>
      <color rgb="FF0000FF"/>
      <name val="Calibri"/>
    </font>
    <font>
      <u/>
      <sz val="11.0"/>
      <color rgb="FF0563C1"/>
      <name val="Calibri"/>
    </font>
    <font>
      <u/>
      <sz val="11.0"/>
      <color theme="10"/>
      <name val="Calibri"/>
    </font>
  </fonts>
  <fills count="9">
    <fill>
      <patternFill patternType="none"/>
    </fill>
    <fill>
      <patternFill patternType="lightGray"/>
    </fill>
    <fill>
      <patternFill patternType="solid">
        <fgColor rgb="FFBFBFBF"/>
        <bgColor rgb="FFBFBFBF"/>
      </patternFill>
    </fill>
    <fill>
      <patternFill patternType="solid">
        <fgColor rgb="FF00B050"/>
        <bgColor rgb="FF00B050"/>
      </patternFill>
    </fill>
    <fill>
      <patternFill patternType="solid">
        <fgColor rgb="FFFF0000"/>
        <bgColor rgb="FFFF0000"/>
      </patternFill>
    </fill>
    <fill>
      <patternFill patternType="solid">
        <fgColor rgb="FF92D050"/>
        <bgColor rgb="FF92D050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FFC000"/>
        <bgColor rgb="FFFFC000"/>
      </patternFill>
    </fill>
  </fills>
  <borders count="41">
    <border/>
    <border>
      <left style="thin">
        <color theme="0"/>
      </left>
      <right style="thin">
        <color theme="0"/>
      </right>
      <top style="thin">
        <color theme="0"/>
      </top>
      <bottom/>
    </border>
    <border>
      <left style="thin">
        <color theme="0"/>
      </left>
      <right/>
      <top style="thin">
        <color theme="0"/>
      </top>
      <bottom/>
    </border>
    <border>
      <left/>
      <right/>
      <top/>
      <bottom/>
    </border>
    <border>
      <left/>
      <right style="thin">
        <color theme="0"/>
      </right>
      <top style="thin">
        <color theme="0"/>
      </top>
      <bottom/>
    </border>
    <border>
      <left style="thin">
        <color rgb="FFBFBFBF"/>
      </left>
      <right style="thin">
        <color rgb="FFBFBFBF"/>
      </right>
      <top style="thin">
        <color rgb="FFBFBFBF"/>
      </top>
      <bottom/>
    </border>
    <border>
      <left style="thin">
        <color rgb="FFBFBFBF"/>
      </left>
      <right style="thin">
        <color rgb="FFBFBFBF"/>
      </right>
      <top/>
      <bottom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theme="0"/>
      </left>
      <right/>
      <top style="thin">
        <color theme="0"/>
      </top>
      <bottom style="thin">
        <color theme="0"/>
      </bottom>
    </border>
    <border>
      <top style="thin">
        <color rgb="FF000000"/>
      </top>
    </border>
    <border>
      <left/>
      <right style="thin">
        <color theme="0"/>
      </right>
      <top style="thin">
        <color theme="0"/>
      </top>
      <bottom style="thin">
        <color theme="0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/>
      <right style="thin">
        <color rgb="FF000000"/>
      </right>
      <top style="thin">
        <color rgb="FF000000"/>
      </top>
      <bottom/>
    </border>
    <border>
      <left/>
      <right/>
      <top style="thin">
        <color rgb="FF000000"/>
      </top>
      <bottom/>
    </border>
    <border>
      <left/>
      <right style="thin">
        <color rgb="FFBFBFBF"/>
      </right>
      <top/>
      <bottom style="thin">
        <color rgb="FFBFBFBF"/>
      </bottom>
    </border>
    <border>
      <left style="thin">
        <color rgb="FFBFBFBF"/>
      </left>
      <right style="thin">
        <color rgb="FFBFBFBF"/>
      </right>
      <top/>
      <bottom style="thin">
        <color rgb="FFBFBFBF"/>
      </bottom>
    </border>
    <border>
      <left style="thin">
        <color rgb="FFBFBFBF"/>
      </left>
      <right/>
      <top/>
      <bottom style="thin">
        <color rgb="FFBFBFBF"/>
      </bottom>
    </border>
    <border>
      <left style="thin">
        <color rgb="FFBFBFBF"/>
      </left>
      <right style="thin">
        <color rgb="FFBFBFBF"/>
      </right>
      <bottom style="thin">
        <color rgb="FFBFBFBF"/>
      </bottom>
    </border>
    <border>
      <right style="thin">
        <color rgb="FFBFBFBF"/>
      </right>
      <bottom style="thin">
        <color rgb="FFBFBFBF"/>
      </bottom>
    </border>
    <border>
      <left style="thin">
        <color rgb="FFBFBFBF"/>
      </left>
      <right/>
      <top style="thin">
        <color rgb="FFBFBFBF"/>
      </top>
      <bottom style="thin">
        <color rgb="FFBFBFBF"/>
      </bottom>
    </border>
    <border>
      <left/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right style="thin">
        <color rgb="FFBFBFBF"/>
      </right>
    </border>
    <border>
      <left style="thin">
        <color rgb="FFBFBFBF"/>
      </left>
      <top style="thin">
        <color rgb="FFBFBFBF"/>
      </top>
      <bottom style="thin">
        <color rgb="FFBFBFBF"/>
      </bottom>
    </border>
    <border>
      <right style="thin">
        <color rgb="FFBFBFBF"/>
      </right>
      <top style="thin">
        <color rgb="FFBFBFBF"/>
      </top>
      <bottom style="thin">
        <color rgb="FFBFBFBF"/>
      </bottom>
    </border>
    <border>
      <left/>
      <right style="thin">
        <color rgb="FFBFBFBF"/>
      </right>
      <top style="thin">
        <color rgb="FFBFBFBF"/>
      </top>
      <bottom/>
    </border>
    <border>
      <left style="thin">
        <color rgb="FFBFBFBF"/>
      </left>
      <right/>
      <top style="thin">
        <color rgb="FFBFBFBF"/>
      </top>
      <bottom/>
    </border>
    <border>
      <left style="thin">
        <color rgb="FFBFBFBF"/>
      </left>
      <right style="thin">
        <color rgb="FFBFBFBF"/>
      </right>
      <top style="thin">
        <color rgb="FFBFBFBF"/>
      </top>
    </border>
    <border>
      <left style="thin">
        <color rgb="FFBFBFBF"/>
      </left>
    </border>
    <border>
      <left style="thin">
        <color rgb="FFBFBFBF"/>
      </left>
      <bottom style="thin">
        <color rgb="FFBFBFBF"/>
      </bottom>
    </border>
    <border>
      <right style="thin">
        <color rgb="FFBFBFBF"/>
      </right>
      <top style="thin">
        <color rgb="FFBFBFBF"/>
      </top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</border>
    <border>
      <left style="thin">
        <color rgb="FFA6A6A6"/>
      </left>
      <top style="thin">
        <color rgb="FFA6A6A6"/>
      </top>
      <bottom style="thin">
        <color rgb="FFA6A6A6"/>
      </bottom>
    </border>
    <border>
      <right style="thin">
        <color rgb="FFA6A6A6"/>
      </right>
      <top style="thin">
        <color rgb="FFA6A6A6"/>
      </top>
      <bottom style="thin">
        <color rgb="FFA6A6A6"/>
      </bottom>
    </border>
    <border>
      <right style="thin">
        <color rgb="FFBFBFBF"/>
      </right>
    </border>
  </borders>
  <cellStyleXfs count="1">
    <xf borderId="0" fillId="0" fontId="0" numFmtId="0" applyAlignment="1" applyFont="1"/>
  </cellStyleXfs>
  <cellXfs count="14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1" fillId="2" fontId="2" numFmtId="0" xfId="0" applyAlignment="1" applyBorder="1" applyFill="1" applyFont="1">
      <alignment horizontal="center" shrinkToFit="0" vertical="center" wrapText="1"/>
    </xf>
    <xf borderId="2" fillId="2" fontId="2" numFmtId="0" xfId="0" applyAlignment="1" applyBorder="1" applyFill="1" applyFont="1">
      <alignment horizontal="center" shrinkToFit="0" vertical="center" wrapText="1"/>
    </xf>
    <xf borderId="3" fillId="2" fontId="2" numFmtId="0" xfId="0" applyAlignment="1" applyBorder="1" applyFill="1" applyFont="1">
      <alignment horizontal="center" shrinkToFit="0" vertical="center" wrapText="1"/>
    </xf>
    <xf borderId="4" fillId="2" fontId="2" numFmtId="0" xfId="0" applyAlignment="1" applyBorder="1" applyFill="1" applyFont="1">
      <alignment horizontal="center" shrinkToFit="0" vertical="center" wrapText="1"/>
    </xf>
    <xf borderId="5" fillId="3" fontId="2" numFmtId="164" xfId="0" applyAlignment="1" applyBorder="1" applyFill="1" applyFont="1" applyNumberFormat="1">
      <alignment horizontal="center" vertical="center"/>
    </xf>
    <xf borderId="5" fillId="3" fontId="2" numFmtId="0" xfId="0" applyAlignment="1" applyBorder="1" applyFill="1" applyFont="1">
      <alignment horizontal="center" vertical="center"/>
    </xf>
    <xf borderId="5" fillId="3" fontId="2" numFmtId="0" xfId="0" applyAlignment="1" applyBorder="1" applyFill="1" applyFont="1">
      <alignment horizontal="center" shrinkToFit="0" vertical="center" wrapText="1"/>
    </xf>
    <xf borderId="6" fillId="3" fontId="2" numFmtId="0" xfId="0" applyAlignment="1" applyBorder="1" applyFill="1" applyFont="1">
      <alignment horizontal="center" shrinkToFit="0" vertical="center" wrapText="1"/>
    </xf>
    <xf borderId="0" fillId="0" fontId="3" numFmtId="0" xfId="0" applyAlignment="1" applyFont="1">
      <alignment horizontal="center" vertical="center"/>
    </xf>
    <xf borderId="7" fillId="2" fontId="2" numFmtId="0" xfId="0" applyAlignment="1" applyBorder="1" applyFill="1" applyFont="1">
      <alignment horizontal="center" shrinkToFit="0" vertical="center" wrapText="1"/>
    </xf>
    <xf borderId="6" fillId="4" fontId="2" numFmtId="0" xfId="0" applyAlignment="1" applyBorder="1" applyFill="1" applyFont="1">
      <alignment horizontal="center" shrinkToFit="0" vertical="center" wrapText="1"/>
    </xf>
    <xf borderId="8" fillId="0" fontId="1" numFmtId="0" xfId="0" applyAlignment="1" applyBorder="1" applyFont="1">
      <alignment horizontal="center" shrinkToFit="0" vertical="center" wrapText="1"/>
    </xf>
    <xf borderId="9" fillId="0" fontId="1" numFmtId="0" xfId="0" applyBorder="1" applyFont="1"/>
    <xf borderId="8" fillId="0" fontId="3" numFmtId="165" xfId="0" applyBorder="1" applyFont="1" applyNumberFormat="1"/>
    <xf borderId="10" fillId="2" fontId="2" numFmtId="0" xfId="0" applyAlignment="1" applyBorder="1" applyFill="1" applyFont="1">
      <alignment horizontal="center" shrinkToFit="0" vertical="center" wrapText="1"/>
    </xf>
    <xf borderId="11" fillId="0" fontId="3" numFmtId="165" xfId="0" applyBorder="1" applyFont="1" applyNumberFormat="1"/>
    <xf borderId="12" fillId="2" fontId="2" numFmtId="0" xfId="0" applyAlignment="1" applyBorder="1" applyFill="1" applyFont="1">
      <alignment horizontal="center" shrinkToFit="0" vertical="center" wrapText="1"/>
    </xf>
    <xf borderId="11" fillId="0" fontId="3" numFmtId="0" xfId="0" applyBorder="1" applyFont="1"/>
    <xf borderId="13" fillId="3" fontId="2" numFmtId="164" xfId="0" applyAlignment="1" applyBorder="1" applyFill="1" applyFont="1" applyNumberFormat="1">
      <alignment horizontal="center" vertical="center"/>
    </xf>
    <xf borderId="9" fillId="0" fontId="3" numFmtId="0" xfId="0" applyBorder="1" applyFont="1"/>
    <xf borderId="14" fillId="0" fontId="4" numFmtId="0" xfId="0" applyBorder="1" applyFont="1"/>
    <xf borderId="13" fillId="3" fontId="2" numFmtId="0" xfId="0" applyAlignment="1" applyBorder="1" applyFill="1" applyFont="1">
      <alignment horizontal="center" vertical="center"/>
    </xf>
    <xf borderId="15" fillId="0" fontId="1" numFmtId="0" xfId="0" applyBorder="1" applyFont="1"/>
    <xf borderId="14" fillId="0" fontId="3" numFmtId="165" xfId="0" applyBorder="1" applyFont="1" applyNumberFormat="1"/>
    <xf borderId="0" fillId="0" fontId="3" numFmtId="165" xfId="0" applyFont="1" applyNumberFormat="1"/>
    <xf borderId="13" fillId="3" fontId="2" numFmtId="0" xfId="0" applyAlignment="1" applyBorder="1" applyFill="1" applyFont="1">
      <alignment horizontal="center" shrinkToFit="0" vertical="center" wrapText="1"/>
    </xf>
    <xf borderId="15" fillId="0" fontId="3" numFmtId="0" xfId="0" applyBorder="1" applyFont="1"/>
    <xf borderId="16" fillId="0" fontId="4" numFmtId="0" xfId="0" applyBorder="1" applyFont="1"/>
    <xf borderId="17" fillId="0" fontId="1" numFmtId="0" xfId="0" applyBorder="1" applyFont="1"/>
    <xf borderId="16" fillId="0" fontId="3" numFmtId="165" xfId="0" applyBorder="1" applyFont="1" applyNumberFormat="1"/>
    <xf borderId="18" fillId="0" fontId="3" numFmtId="165" xfId="0" applyBorder="1" applyFont="1" applyNumberFormat="1"/>
    <xf borderId="18" fillId="0" fontId="3" numFmtId="0" xfId="0" applyBorder="1" applyFont="1"/>
    <xf borderId="17" fillId="0" fontId="3" numFmtId="0" xfId="0" applyBorder="1" applyFont="1"/>
    <xf borderId="19" fillId="5" fontId="1" numFmtId="0" xfId="0" applyBorder="1" applyFill="1" applyFont="1"/>
    <xf borderId="20" fillId="5" fontId="3" numFmtId="165" xfId="0" applyBorder="1" applyFill="1" applyFont="1" applyNumberFormat="1"/>
    <xf borderId="13" fillId="6" fontId="5" numFmtId="0" xfId="0" applyBorder="1" applyFill="1" applyFont="1"/>
    <xf borderId="3" fillId="6" fontId="3" numFmtId="0" xfId="0" applyBorder="1" applyFill="1" applyFont="1"/>
    <xf borderId="0" fillId="0" fontId="6" numFmtId="0" xfId="0" applyFont="1"/>
    <xf borderId="21" fillId="6" fontId="7" numFmtId="0" xfId="0" applyBorder="1" applyFill="1" applyFont="1"/>
    <xf borderId="22" fillId="6" fontId="7" numFmtId="0" xfId="0" applyBorder="1" applyFill="1" applyFont="1"/>
    <xf borderId="23" fillId="6" fontId="7" numFmtId="0" xfId="0" applyBorder="1" applyFill="1" applyFont="1"/>
    <xf borderId="0" fillId="0" fontId="7" numFmtId="0" xfId="0" applyFont="1"/>
    <xf borderId="0" fillId="0" fontId="1" numFmtId="0" xfId="0" applyFont="1"/>
    <xf borderId="0" fillId="0" fontId="8" numFmtId="0" xfId="0" applyFont="1"/>
    <xf borderId="3" fillId="5" fontId="3" numFmtId="165" xfId="0" applyBorder="1" applyFill="1" applyFont="1" applyNumberFormat="1"/>
    <xf borderId="3" fillId="6" fontId="7" numFmtId="0" xfId="0" applyBorder="1" applyFill="1" applyFont="1"/>
    <xf borderId="22" fillId="5" fontId="7" numFmtId="165" xfId="0" applyBorder="1" applyFill="1" applyFont="1" applyNumberFormat="1"/>
    <xf borderId="24" fillId="0" fontId="7" numFmtId="165" xfId="0" applyBorder="1" applyFont="1" applyNumberFormat="1"/>
    <xf borderId="24" fillId="0" fontId="7" numFmtId="0" xfId="0" applyBorder="1" applyFont="1"/>
    <xf borderId="22" fillId="6" fontId="7" numFmtId="165" xfId="0" applyBorder="1" applyFill="1" applyFont="1" applyNumberFormat="1"/>
    <xf borderId="23" fillId="6" fontId="7" numFmtId="165" xfId="0" applyBorder="1" applyFill="1" applyFont="1" applyNumberFormat="1"/>
    <xf borderId="0" fillId="0" fontId="7" numFmtId="165" xfId="0" applyFont="1" applyNumberFormat="1"/>
    <xf borderId="21" fillId="6" fontId="7" numFmtId="165" xfId="0" applyBorder="1" applyFill="1" applyFont="1" applyNumberFormat="1"/>
    <xf borderId="13" fillId="6" fontId="9" numFmtId="0" xfId="0" applyBorder="1" applyFill="1" applyFont="1"/>
    <xf borderId="25" fillId="0" fontId="7" numFmtId="0" xfId="0" applyBorder="1" applyFont="1"/>
    <xf borderId="13" fillId="0" fontId="10" numFmtId="0" xfId="0" applyBorder="1" applyFont="1"/>
    <xf borderId="24" fillId="0" fontId="11" numFmtId="0" xfId="0" applyBorder="1" applyFont="1"/>
    <xf borderId="22" fillId="6" fontId="11" numFmtId="0" xfId="0" applyBorder="1" applyFill="1" applyFont="1"/>
    <xf borderId="23" fillId="6" fontId="11" numFmtId="0" xfId="0" applyBorder="1" applyFill="1" applyFont="1"/>
    <xf borderId="0" fillId="0" fontId="11" numFmtId="0" xfId="0" applyFont="1"/>
    <xf borderId="21" fillId="6" fontId="11" numFmtId="0" xfId="0" applyBorder="1" applyFill="1" applyFont="1"/>
    <xf borderId="3" fillId="6" fontId="11" numFmtId="0" xfId="0" applyBorder="1" applyFill="1" applyFont="1"/>
    <xf borderId="13" fillId="0" fontId="11" numFmtId="0" xfId="0" applyBorder="1" applyFont="1"/>
    <xf borderId="13" fillId="6" fontId="11" numFmtId="0" xfId="0" applyBorder="1" applyFill="1" applyFont="1"/>
    <xf borderId="26" fillId="6" fontId="11" numFmtId="0" xfId="0" applyBorder="1" applyFill="1" applyFont="1"/>
    <xf borderId="27" fillId="6" fontId="11" numFmtId="0" xfId="0" applyBorder="1" applyFill="1" applyFont="1"/>
    <xf borderId="3" fillId="6" fontId="12" numFmtId="0" xfId="0" applyBorder="1" applyFill="1" applyFont="1"/>
    <xf borderId="13" fillId="0" fontId="11" numFmtId="2" xfId="0" applyBorder="1" applyFont="1" applyNumberFormat="1"/>
    <xf borderId="13" fillId="6" fontId="11" numFmtId="2" xfId="0" applyBorder="1" applyFill="1" applyFont="1" applyNumberFormat="1"/>
    <xf borderId="26" fillId="6" fontId="11" numFmtId="2" xfId="0" applyBorder="1" applyFill="1" applyFont="1" applyNumberFormat="1"/>
    <xf borderId="0" fillId="0" fontId="11" numFmtId="2" xfId="0" applyFont="1" applyNumberFormat="1"/>
    <xf borderId="27" fillId="6" fontId="11" numFmtId="2" xfId="0" applyBorder="1" applyFill="1" applyFont="1" applyNumberFormat="1"/>
    <xf borderId="24" fillId="0" fontId="11" numFmtId="2" xfId="0" applyBorder="1" applyFont="1" applyNumberFormat="1"/>
    <xf borderId="28" fillId="0" fontId="13" numFmtId="2" xfId="0" applyBorder="1" applyFont="1" applyNumberFormat="1"/>
    <xf borderId="0" fillId="0" fontId="13" numFmtId="2" xfId="0" applyFont="1" applyNumberFormat="1"/>
    <xf borderId="0" fillId="0" fontId="13" numFmtId="166" xfId="0" applyFont="1" applyNumberFormat="1"/>
    <xf borderId="3" fillId="6" fontId="14" numFmtId="0" xfId="0" applyBorder="1" applyFill="1" applyFont="1"/>
    <xf borderId="13" fillId="6" fontId="11" numFmtId="1" xfId="0" applyBorder="1" applyFill="1" applyFont="1" applyNumberFormat="1"/>
    <xf borderId="0" fillId="0" fontId="3" numFmtId="1" xfId="0" applyFont="1" applyNumberFormat="1"/>
    <xf borderId="13" fillId="0" fontId="11" numFmtId="1" xfId="0" applyBorder="1" applyFont="1" applyNumberFormat="1"/>
    <xf borderId="13" fillId="0" fontId="11" numFmtId="165" xfId="0" applyBorder="1" applyFont="1" applyNumberFormat="1"/>
    <xf borderId="29" fillId="0" fontId="11" numFmtId="1" xfId="0" applyBorder="1" applyFont="1" applyNumberFormat="1"/>
    <xf borderId="0" fillId="0" fontId="11" numFmtId="1" xfId="0" applyFont="1" applyNumberFormat="1"/>
    <xf borderId="30" fillId="0" fontId="11" numFmtId="1" xfId="0" applyBorder="1" applyFont="1" applyNumberFormat="1"/>
    <xf borderId="13" fillId="0" fontId="11" numFmtId="167" xfId="0" applyBorder="1" applyFont="1" applyNumberFormat="1"/>
    <xf borderId="24" fillId="0" fontId="11" numFmtId="165" xfId="0" applyBorder="1" applyFont="1" applyNumberFormat="1"/>
    <xf borderId="24" fillId="0" fontId="11" numFmtId="1" xfId="0" applyBorder="1" applyFont="1" applyNumberFormat="1"/>
    <xf borderId="13" fillId="6" fontId="15" numFmtId="0" xfId="0" applyAlignment="1" applyBorder="1" applyFill="1" applyFont="1">
      <alignment vertical="center"/>
    </xf>
    <xf borderId="31" fillId="6" fontId="11" numFmtId="0" xfId="0" applyBorder="1" applyFill="1" applyFont="1"/>
    <xf borderId="5" fillId="6" fontId="11" numFmtId="0" xfId="0" applyBorder="1" applyFill="1" applyFont="1"/>
    <xf borderId="32" fillId="6" fontId="11" numFmtId="0" xfId="0" applyBorder="1" applyFill="1" applyFont="1"/>
    <xf borderId="33" fillId="0" fontId="11" numFmtId="0" xfId="0" applyBorder="1" applyFont="1"/>
    <xf borderId="28" fillId="0" fontId="11" numFmtId="0" xfId="0" applyBorder="1" applyFont="1"/>
    <xf borderId="34" fillId="0" fontId="11" numFmtId="0" xfId="0" applyBorder="1" applyFont="1"/>
    <xf borderId="3" fillId="6" fontId="11" numFmtId="165" xfId="0" applyBorder="1" applyFill="1" applyFont="1" applyNumberFormat="1"/>
    <xf borderId="0" fillId="0" fontId="11" numFmtId="165" xfId="0" applyFont="1" applyNumberFormat="1"/>
    <xf borderId="0" fillId="0" fontId="7" numFmtId="2" xfId="0" applyFont="1" applyNumberFormat="1"/>
    <xf borderId="0" fillId="0" fontId="7" numFmtId="1" xfId="0" applyFont="1" applyNumberFormat="1"/>
    <xf borderId="0" fillId="0" fontId="3" numFmtId="2" xfId="0" applyFont="1" applyNumberFormat="1"/>
    <xf borderId="3" fillId="7" fontId="16" numFmtId="0" xfId="0" applyBorder="1" applyFill="1" applyFont="1"/>
    <xf borderId="25" fillId="0" fontId="11" numFmtId="0" xfId="0" applyBorder="1" applyFont="1"/>
    <xf borderId="35" fillId="0" fontId="11" numFmtId="0" xfId="0" applyBorder="1" applyFont="1"/>
    <xf borderId="25" fillId="0" fontId="11" numFmtId="2" xfId="0" applyBorder="1" applyFont="1" applyNumberFormat="1"/>
    <xf borderId="35" fillId="0" fontId="11" numFmtId="2" xfId="0" applyBorder="1" applyFont="1" applyNumberFormat="1"/>
    <xf borderId="35" fillId="0" fontId="11" numFmtId="167" xfId="0" applyBorder="1" applyFont="1" applyNumberFormat="1"/>
    <xf borderId="34" fillId="0" fontId="11" numFmtId="167" xfId="0" applyBorder="1" applyFont="1" applyNumberFormat="1"/>
    <xf borderId="0" fillId="0" fontId="11" numFmtId="167" xfId="0" applyFont="1" applyNumberFormat="1"/>
    <xf borderId="0" fillId="0" fontId="11" numFmtId="166" xfId="0" applyFont="1" applyNumberFormat="1"/>
    <xf borderId="0" fillId="0" fontId="11" numFmtId="168" xfId="0" applyFont="1" applyNumberFormat="1"/>
    <xf borderId="13" fillId="6" fontId="7" numFmtId="0" xfId="0" applyBorder="1" applyFill="1" applyFont="1"/>
    <xf borderId="13" fillId="0" fontId="7" numFmtId="0" xfId="0" applyBorder="1" applyFont="1"/>
    <xf borderId="29" fillId="0" fontId="11" numFmtId="0" xfId="0" applyBorder="1" applyFont="1"/>
    <xf borderId="30" fillId="0" fontId="11" numFmtId="0" xfId="0" applyBorder="1" applyFont="1"/>
    <xf borderId="36" fillId="0" fontId="11" numFmtId="0" xfId="0" applyBorder="1" applyFont="1"/>
    <xf borderId="24" fillId="0" fontId="11" numFmtId="167" xfId="0" applyBorder="1" applyFont="1" applyNumberFormat="1"/>
    <xf borderId="23" fillId="7" fontId="7" numFmtId="0" xfId="0" applyBorder="1" applyFill="1" applyFont="1"/>
    <xf borderId="0" fillId="0" fontId="3" numFmtId="0" xfId="0" applyFont="1"/>
    <xf borderId="35" fillId="0" fontId="11" numFmtId="165" xfId="0" applyBorder="1" applyFont="1" applyNumberFormat="1"/>
    <xf borderId="25" fillId="0" fontId="11" numFmtId="165" xfId="0" applyBorder="1" applyFont="1" applyNumberFormat="1"/>
    <xf borderId="29" fillId="0" fontId="7" numFmtId="0" xfId="0" applyBorder="1" applyFont="1"/>
    <xf borderId="30" fillId="0" fontId="7" numFmtId="0" xfId="0" applyBorder="1" applyFont="1"/>
    <xf borderId="35" fillId="0" fontId="7" numFmtId="0" xfId="0" applyBorder="1" applyFont="1"/>
    <xf borderId="24" fillId="0" fontId="7" numFmtId="1" xfId="0" applyBorder="1" applyFont="1" applyNumberFormat="1"/>
    <xf borderId="35" fillId="0" fontId="7" numFmtId="1" xfId="0" applyBorder="1" applyFont="1" applyNumberFormat="1"/>
    <xf borderId="26" fillId="6" fontId="7" numFmtId="0" xfId="0" applyBorder="1" applyFill="1" applyFont="1"/>
    <xf borderId="3" fillId="4" fontId="3" numFmtId="0" xfId="0" applyBorder="1" applyFill="1" applyFont="1"/>
    <xf borderId="28" fillId="0" fontId="13" numFmtId="0" xfId="0" applyBorder="1" applyFont="1"/>
    <xf borderId="0" fillId="0" fontId="13" numFmtId="0" xfId="0" applyFont="1"/>
    <xf borderId="3" fillId="8" fontId="3" numFmtId="0" xfId="0" applyBorder="1" applyFill="1" applyFont="1"/>
    <xf borderId="34" fillId="0" fontId="13" numFmtId="0" xfId="0" applyBorder="1" applyFont="1"/>
    <xf borderId="13" fillId="0" fontId="11" numFmtId="2" xfId="0" applyAlignment="1" applyBorder="1" applyFont="1" applyNumberFormat="1">
      <alignment vertical="center"/>
    </xf>
    <xf borderId="29" fillId="0" fontId="11" numFmtId="2" xfId="0" applyAlignment="1" applyBorder="1" applyFont="1" applyNumberFormat="1">
      <alignment vertical="center"/>
    </xf>
    <xf borderId="0" fillId="0" fontId="11" numFmtId="2" xfId="0" applyAlignment="1" applyFont="1" applyNumberFormat="1">
      <alignment vertical="center"/>
    </xf>
    <xf borderId="30" fillId="0" fontId="11" numFmtId="2" xfId="0" applyAlignment="1" applyBorder="1" applyFont="1" applyNumberFormat="1">
      <alignment vertical="center"/>
    </xf>
    <xf borderId="0" fillId="0" fontId="11" numFmtId="169" xfId="0" applyFont="1" applyNumberFormat="1"/>
    <xf borderId="28" fillId="0" fontId="3" numFmtId="0" xfId="0" applyBorder="1" applyFont="1"/>
    <xf borderId="34" fillId="0" fontId="3" numFmtId="0" xfId="0" applyBorder="1" applyFont="1"/>
    <xf borderId="37" fillId="0" fontId="11" numFmtId="170" xfId="0" applyAlignment="1" applyBorder="1" applyFont="1" applyNumberFormat="1">
      <alignment vertical="center"/>
    </xf>
    <xf borderId="37" fillId="0" fontId="11" numFmtId="0" xfId="0" applyAlignment="1" applyBorder="1" applyFont="1">
      <alignment vertical="center"/>
    </xf>
    <xf borderId="38" fillId="0" fontId="11" numFmtId="0" xfId="0" applyAlignment="1" applyBorder="1" applyFont="1">
      <alignment vertical="center"/>
    </xf>
    <xf borderId="0" fillId="0" fontId="11" numFmtId="0" xfId="0" applyAlignment="1" applyFont="1">
      <alignment vertical="center"/>
    </xf>
    <xf borderId="39" fillId="0" fontId="11" numFmtId="0" xfId="0" applyAlignment="1" applyBorder="1" applyFont="1">
      <alignment vertical="center"/>
    </xf>
    <xf borderId="35" fillId="0" fontId="7" numFmtId="2" xfId="0" applyBorder="1" applyFont="1" applyNumberFormat="1"/>
    <xf borderId="24" fillId="0" fontId="7" numFmtId="2" xfId="0" applyBorder="1" applyFont="1" applyNumberFormat="1"/>
    <xf borderId="40" fillId="0" fontId="11" numFmtId="0" xfId="0" applyBorder="1" applyFont="1"/>
    <xf borderId="0" fillId="0" fontId="3" numFmtId="167" xfId="0" applyFont="1" applyNumberFormat="1"/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comments2.xml.rels><?xml version="1.0" encoding="UTF-8" standalone="yes"?><Relationships xmlns="http://schemas.openxmlformats.org/package/2006/relationships"><Relationship Id="rId1" Type="http://customschemas.google.com/relationships/workbookmetadata" Target="commentsmeta2"/></Relationships>
</file>

<file path=xl/_rels/comments3.xml.rels><?xml version="1.0" encoding="UTF-8" standalone="yes"?><Relationships xmlns="http://schemas.openxmlformats.org/package/2006/relationships"><Relationship Id="rId1" Type="http://customschemas.google.com/relationships/workbookmetadata" Target="commentsmeta1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20" Type="http://schemas.openxmlformats.org/officeDocument/2006/relationships/hyperlink" Target="https://fdc.nal.usda.gov/fdc-app.html" TargetMode="External"/><Relationship Id="rId22" Type="http://schemas.openxmlformats.org/officeDocument/2006/relationships/hyperlink" Target="https://fdc.nal.usda.gov/fdc-app.html" TargetMode="External"/><Relationship Id="rId21" Type="http://schemas.openxmlformats.org/officeDocument/2006/relationships/hyperlink" Target="https://fdc.nal.usda.gov/fdc-app.html" TargetMode="External"/><Relationship Id="rId24" Type="http://schemas.openxmlformats.org/officeDocument/2006/relationships/hyperlink" Target="https://fdc.nal.usda.gov/food-details/171328/nutrients" TargetMode="External"/><Relationship Id="rId23" Type="http://schemas.openxmlformats.org/officeDocument/2006/relationships/hyperlink" Target="https://fdc.nal.usda.gov/fdc-app.html" TargetMode="External"/><Relationship Id="rId1" Type="http://schemas.openxmlformats.org/officeDocument/2006/relationships/comments" Target="../comments2.xml"/><Relationship Id="rId2" Type="http://schemas.openxmlformats.org/officeDocument/2006/relationships/hyperlink" Target="https://fdc.nal.usda.gov/fdc-app.html" TargetMode="External"/><Relationship Id="rId3" Type="http://schemas.openxmlformats.org/officeDocument/2006/relationships/hyperlink" Target="https://fdc.nal.usda.gov/food-details/168314/nutrients" TargetMode="External"/><Relationship Id="rId4" Type="http://schemas.openxmlformats.org/officeDocument/2006/relationships/hyperlink" Target="https://fdc.nal.usda.gov/fdc-app.html" TargetMode="External"/><Relationship Id="rId9" Type="http://schemas.openxmlformats.org/officeDocument/2006/relationships/hyperlink" Target="https://fdc.nal.usda.gov/food-details/2705902/nutrients" TargetMode="External"/><Relationship Id="rId26" Type="http://schemas.openxmlformats.org/officeDocument/2006/relationships/vmlDrawing" Target="../drawings/vmlDrawing2.vml"/><Relationship Id="rId25" Type="http://schemas.openxmlformats.org/officeDocument/2006/relationships/drawing" Target="../drawings/drawing2.xml"/><Relationship Id="rId5" Type="http://schemas.openxmlformats.org/officeDocument/2006/relationships/hyperlink" Target="https://fdc.nal.usda.gov/fdc-app.html" TargetMode="External"/><Relationship Id="rId6" Type="http://schemas.openxmlformats.org/officeDocument/2006/relationships/hyperlink" Target="https://fdc.nal.usda.gov/fdc-app.html" TargetMode="External"/><Relationship Id="rId7" Type="http://schemas.openxmlformats.org/officeDocument/2006/relationships/hyperlink" Target="https://fdc.nal.usda.gov/fdc-app.html" TargetMode="External"/><Relationship Id="rId8" Type="http://schemas.openxmlformats.org/officeDocument/2006/relationships/hyperlink" Target="https://fdc.nal.usda.gov/fdc-app.html" TargetMode="External"/><Relationship Id="rId11" Type="http://schemas.openxmlformats.org/officeDocument/2006/relationships/hyperlink" Target="https://fdc.nal.usda.gov/fdc-app.html" TargetMode="External"/><Relationship Id="rId10" Type="http://schemas.openxmlformats.org/officeDocument/2006/relationships/hyperlink" Target="https://fdc.nal.usda.gov/food-details/2705902/nutrients" TargetMode="External"/><Relationship Id="rId13" Type="http://schemas.openxmlformats.org/officeDocument/2006/relationships/hyperlink" Target="https://fdc.nal.usda.gov/fdc-app.html" TargetMode="External"/><Relationship Id="rId12" Type="http://schemas.openxmlformats.org/officeDocument/2006/relationships/hyperlink" Target="https://fdc.nal.usda.gov/fdc-app.html" TargetMode="External"/><Relationship Id="rId15" Type="http://schemas.openxmlformats.org/officeDocument/2006/relationships/hyperlink" Target="https://fdc.nal.usda.gov/food-details/171401/nutrients" TargetMode="External"/><Relationship Id="rId14" Type="http://schemas.openxmlformats.org/officeDocument/2006/relationships/hyperlink" Target="https://fdc.nal.usda.gov/fdc-app.html" TargetMode="External"/><Relationship Id="rId17" Type="http://schemas.openxmlformats.org/officeDocument/2006/relationships/hyperlink" Target="https://fdc.nal.usda.gov/fdc-app.html" TargetMode="External"/><Relationship Id="rId16" Type="http://schemas.openxmlformats.org/officeDocument/2006/relationships/hyperlink" Target="https://fdc.nal.usda.gov/fdc-app.html" TargetMode="External"/><Relationship Id="rId19" Type="http://schemas.openxmlformats.org/officeDocument/2006/relationships/hyperlink" Target="https://fdc.nal.usda.gov/fdc-app.html" TargetMode="External"/><Relationship Id="rId18" Type="http://schemas.openxmlformats.org/officeDocument/2006/relationships/hyperlink" Target="https://fdc.nal.usda.gov/food-details/174740/nutrients" TargetMode="External"/></Relationships>
</file>

<file path=xl/worksheets/_rels/sheet3.xml.rels><?xml version="1.0" encoding="UTF-8" standalone="yes"?><Relationships xmlns="http://schemas.openxmlformats.org/package/2006/relationships"><Relationship Id="rId20" Type="http://schemas.openxmlformats.org/officeDocument/2006/relationships/hyperlink" Target="https://fdc.nal.usda.gov/fdc-app.html" TargetMode="External"/><Relationship Id="rId22" Type="http://schemas.openxmlformats.org/officeDocument/2006/relationships/hyperlink" Target="https://fdc.nal.usda.gov/fdc-app.html" TargetMode="External"/><Relationship Id="rId21" Type="http://schemas.openxmlformats.org/officeDocument/2006/relationships/hyperlink" Target="https://fdc.nal.usda.gov/fdc-app.html" TargetMode="External"/><Relationship Id="rId24" Type="http://schemas.openxmlformats.org/officeDocument/2006/relationships/hyperlink" Target="https://fdc.nal.usda.gov/food-details/171328/nutrients" TargetMode="External"/><Relationship Id="rId23" Type="http://schemas.openxmlformats.org/officeDocument/2006/relationships/hyperlink" Target="https://fdc.nal.usda.gov/fdc-app.html" TargetMode="External"/><Relationship Id="rId1" Type="http://schemas.openxmlformats.org/officeDocument/2006/relationships/comments" Target="../comments3.xml"/><Relationship Id="rId2" Type="http://schemas.openxmlformats.org/officeDocument/2006/relationships/hyperlink" Target="https://fdc.nal.usda.gov/fdc-app.html" TargetMode="External"/><Relationship Id="rId3" Type="http://schemas.openxmlformats.org/officeDocument/2006/relationships/hyperlink" Target="https://fdc.nal.usda.gov/food-details/168314/nutrients" TargetMode="External"/><Relationship Id="rId4" Type="http://schemas.openxmlformats.org/officeDocument/2006/relationships/hyperlink" Target="https://fdc.nal.usda.gov/fdc-app.html" TargetMode="External"/><Relationship Id="rId9" Type="http://schemas.openxmlformats.org/officeDocument/2006/relationships/hyperlink" Target="https://fdc.nal.usda.gov/food-details/2705902/nutrients" TargetMode="External"/><Relationship Id="rId26" Type="http://schemas.openxmlformats.org/officeDocument/2006/relationships/vmlDrawing" Target="../drawings/vmlDrawing3.vml"/><Relationship Id="rId25" Type="http://schemas.openxmlformats.org/officeDocument/2006/relationships/drawing" Target="../drawings/drawing3.xml"/><Relationship Id="rId5" Type="http://schemas.openxmlformats.org/officeDocument/2006/relationships/hyperlink" Target="https://fdc.nal.usda.gov/fdc-app.html" TargetMode="External"/><Relationship Id="rId6" Type="http://schemas.openxmlformats.org/officeDocument/2006/relationships/hyperlink" Target="https://fdc.nal.usda.gov/fdc-app.html" TargetMode="External"/><Relationship Id="rId7" Type="http://schemas.openxmlformats.org/officeDocument/2006/relationships/hyperlink" Target="https://fdc.nal.usda.gov/fdc-app.html" TargetMode="External"/><Relationship Id="rId8" Type="http://schemas.openxmlformats.org/officeDocument/2006/relationships/hyperlink" Target="https://fdc.nal.usda.gov/fdc-app.html" TargetMode="External"/><Relationship Id="rId11" Type="http://schemas.openxmlformats.org/officeDocument/2006/relationships/hyperlink" Target="https://fdc.nal.usda.gov/fdc-app.html" TargetMode="External"/><Relationship Id="rId10" Type="http://schemas.openxmlformats.org/officeDocument/2006/relationships/hyperlink" Target="https://fdc.nal.usda.gov/food-details/2705902/nutrients" TargetMode="External"/><Relationship Id="rId13" Type="http://schemas.openxmlformats.org/officeDocument/2006/relationships/hyperlink" Target="https://fdc.nal.usda.gov/fdc-app.html" TargetMode="External"/><Relationship Id="rId12" Type="http://schemas.openxmlformats.org/officeDocument/2006/relationships/hyperlink" Target="https://fdc.nal.usda.gov/fdc-app.html" TargetMode="External"/><Relationship Id="rId15" Type="http://schemas.openxmlformats.org/officeDocument/2006/relationships/hyperlink" Target="https://fdc.nal.usda.gov/food-details/171401/nutrients" TargetMode="External"/><Relationship Id="rId14" Type="http://schemas.openxmlformats.org/officeDocument/2006/relationships/hyperlink" Target="https://fdc.nal.usda.gov/fdc-app.html" TargetMode="External"/><Relationship Id="rId17" Type="http://schemas.openxmlformats.org/officeDocument/2006/relationships/hyperlink" Target="https://fdc.nal.usda.gov/fdc-app.html" TargetMode="External"/><Relationship Id="rId16" Type="http://schemas.openxmlformats.org/officeDocument/2006/relationships/hyperlink" Target="https://fdc.nal.usda.gov/fdc-app.html" TargetMode="External"/><Relationship Id="rId19" Type="http://schemas.openxmlformats.org/officeDocument/2006/relationships/hyperlink" Target="https://fdc.nal.usda.gov/fdc-app.html" TargetMode="External"/><Relationship Id="rId18" Type="http://schemas.openxmlformats.org/officeDocument/2006/relationships/hyperlink" Target="https://fdc.nal.usda.gov/food-details/174740/nutrient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71"/>
    <col customWidth="1" min="2" max="2" width="13.86"/>
    <col customWidth="1" min="3" max="36" width="11.43"/>
  </cols>
  <sheetData>
    <row r="1">
      <c r="B1" s="1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3" t="s">
        <v>9</v>
      </c>
      <c r="L1" s="4" t="s">
        <v>10</v>
      </c>
      <c r="M1" s="5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3" t="s">
        <v>17</v>
      </c>
      <c r="T1" s="6" t="s">
        <v>18</v>
      </c>
      <c r="U1" s="7" t="s">
        <v>19</v>
      </c>
      <c r="V1" s="7" t="s">
        <v>20</v>
      </c>
      <c r="W1" s="8" t="s">
        <v>21</v>
      </c>
      <c r="X1" s="7" t="s">
        <v>22</v>
      </c>
      <c r="Y1" s="7" t="s">
        <v>23</v>
      </c>
      <c r="Z1" s="9" t="s">
        <v>24</v>
      </c>
      <c r="AA1" s="9" t="s">
        <v>25</v>
      </c>
      <c r="AB1" s="9" t="s">
        <v>26</v>
      </c>
      <c r="AC1" s="9" t="s">
        <v>27</v>
      </c>
      <c r="AD1" s="9" t="s">
        <v>28</v>
      </c>
      <c r="AE1" s="9" t="s">
        <v>29</v>
      </c>
      <c r="AF1" s="9" t="s">
        <v>30</v>
      </c>
      <c r="AG1" s="9" t="s">
        <v>31</v>
      </c>
      <c r="AH1" s="9" t="s">
        <v>32</v>
      </c>
      <c r="AI1" s="12" t="s">
        <v>33</v>
      </c>
      <c r="AJ1" s="12" t="s">
        <v>34</v>
      </c>
    </row>
    <row r="2">
      <c r="A2" s="13" t="s">
        <v>35</v>
      </c>
      <c r="B2" s="14" t="s">
        <v>36</v>
      </c>
      <c r="C2" s="15">
        <v>73.4</v>
      </c>
      <c r="D2" s="17">
        <v>10.3</v>
      </c>
      <c r="E2" s="17">
        <v>2.64</v>
      </c>
      <c r="F2" s="17">
        <v>0.0</v>
      </c>
      <c r="G2" s="17">
        <v>33.5</v>
      </c>
      <c r="H2" s="17">
        <v>14.95</v>
      </c>
      <c r="I2" s="17">
        <v>0.8</v>
      </c>
      <c r="J2" s="17">
        <v>0.0</v>
      </c>
      <c r="K2" s="17">
        <v>0.0</v>
      </c>
      <c r="L2" s="17">
        <v>0.0</v>
      </c>
      <c r="M2" s="17">
        <v>0.005506861081003702</v>
      </c>
      <c r="N2" s="17">
        <v>50.585</v>
      </c>
      <c r="O2" s="17">
        <v>9.5</v>
      </c>
      <c r="P2" s="17">
        <v>0.43</v>
      </c>
      <c r="Q2" s="17">
        <v>1.005</v>
      </c>
      <c r="R2" s="17">
        <v>1.0</v>
      </c>
      <c r="S2" s="17">
        <v>0.0</v>
      </c>
      <c r="T2" s="17">
        <v>0.03</v>
      </c>
      <c r="U2" s="17"/>
      <c r="V2" s="17">
        <v>0.01</v>
      </c>
      <c r="W2" s="17">
        <v>101.7</v>
      </c>
      <c r="X2" s="19"/>
      <c r="Y2" s="19"/>
      <c r="Z2" s="19"/>
      <c r="AA2" s="19"/>
      <c r="AB2" s="19"/>
      <c r="AC2" s="19"/>
      <c r="AD2" s="19"/>
      <c r="AE2" s="19"/>
      <c r="AF2" s="19"/>
      <c r="AG2" s="19"/>
      <c r="AH2" s="19"/>
      <c r="AI2" s="19"/>
      <c r="AJ2" s="21"/>
    </row>
    <row r="3">
      <c r="A3" s="22"/>
      <c r="B3" s="24" t="s">
        <v>37</v>
      </c>
      <c r="C3" s="25">
        <v>71.74</v>
      </c>
      <c r="D3" s="26">
        <v>11.24</v>
      </c>
      <c r="E3" s="26">
        <v>3.168</v>
      </c>
      <c r="F3" s="26">
        <v>0.0</v>
      </c>
      <c r="G3" s="26">
        <v>40.199999999999996</v>
      </c>
      <c r="H3" s="26">
        <v>15.760000000000002</v>
      </c>
      <c r="I3" s="26">
        <v>0.6400000000000001</v>
      </c>
      <c r="J3" s="26">
        <v>0.0</v>
      </c>
      <c r="K3" s="26">
        <v>0.0</v>
      </c>
      <c r="L3" s="26">
        <v>0.0</v>
      </c>
      <c r="M3" s="26">
        <v>0.004405488864802962</v>
      </c>
      <c r="N3" s="26">
        <v>51.468</v>
      </c>
      <c r="O3" s="26">
        <v>11.4</v>
      </c>
      <c r="P3" s="26">
        <v>0.516</v>
      </c>
      <c r="Q3" s="26">
        <v>1.2059999999999997</v>
      </c>
      <c r="R3" s="26">
        <v>1.2</v>
      </c>
      <c r="S3" s="26">
        <v>0.0</v>
      </c>
      <c r="T3" s="26">
        <v>0.02</v>
      </c>
      <c r="U3" s="26"/>
      <c r="V3" s="26">
        <v>0.0</v>
      </c>
      <c r="W3" s="26">
        <v>121.36</v>
      </c>
      <c r="AJ3" s="28"/>
    </row>
    <row r="4">
      <c r="A4" s="29"/>
      <c r="B4" s="30" t="s">
        <v>38</v>
      </c>
      <c r="C4" s="31">
        <v>70.08</v>
      </c>
      <c r="D4" s="32">
        <v>12.18</v>
      </c>
      <c r="E4" s="32">
        <v>3.6959999999999997</v>
      </c>
      <c r="F4" s="32">
        <v>0.0</v>
      </c>
      <c r="G4" s="32">
        <v>46.9</v>
      </c>
      <c r="H4" s="32">
        <v>16.57</v>
      </c>
      <c r="I4" s="32">
        <v>0.48</v>
      </c>
      <c r="J4" s="32">
        <v>0.0</v>
      </c>
      <c r="K4" s="32">
        <v>0.0</v>
      </c>
      <c r="L4" s="32">
        <v>0.0</v>
      </c>
      <c r="M4" s="32">
        <v>0.003304116648602221</v>
      </c>
      <c r="N4" s="32">
        <v>52.351</v>
      </c>
      <c r="O4" s="32">
        <v>13.299999999999999</v>
      </c>
      <c r="P4" s="32">
        <v>0.602</v>
      </c>
      <c r="Q4" s="32">
        <v>1.4069999999999998</v>
      </c>
      <c r="R4" s="32">
        <v>1.4</v>
      </c>
      <c r="S4" s="32">
        <v>0.0</v>
      </c>
      <c r="T4" s="32">
        <v>0.02</v>
      </c>
      <c r="U4" s="32"/>
      <c r="V4" s="32">
        <v>0.0</v>
      </c>
      <c r="W4" s="32">
        <v>141.02</v>
      </c>
      <c r="X4" s="33"/>
      <c r="Y4" s="33"/>
      <c r="Z4" s="33"/>
      <c r="AA4" s="33"/>
      <c r="AB4" s="33"/>
      <c r="AC4" s="33"/>
      <c r="AD4" s="33"/>
      <c r="AE4" s="33"/>
      <c r="AF4" s="33"/>
      <c r="AG4" s="33"/>
      <c r="AH4" s="33"/>
      <c r="AI4" s="33"/>
      <c r="AJ4" s="34"/>
    </row>
    <row r="5">
      <c r="A5" s="13" t="s">
        <v>40</v>
      </c>
      <c r="B5" s="35" t="s">
        <v>36</v>
      </c>
      <c r="C5" s="15">
        <v>71.71000000000001</v>
      </c>
      <c r="D5" s="36">
        <v>15.3</v>
      </c>
      <c r="E5" s="36">
        <v>4.24</v>
      </c>
      <c r="F5" s="17">
        <v>0.0</v>
      </c>
      <c r="G5" s="17">
        <v>34.0</v>
      </c>
      <c r="H5" s="36">
        <v>12.09</v>
      </c>
      <c r="I5" s="17">
        <v>0.8</v>
      </c>
      <c r="J5" s="17">
        <v>0.0</v>
      </c>
      <c r="K5" s="17">
        <v>0.0</v>
      </c>
      <c r="L5" s="17">
        <v>0.0</v>
      </c>
      <c r="M5" s="17">
        <v>0.005506861081003702</v>
      </c>
      <c r="N5" s="36">
        <v>54.085</v>
      </c>
      <c r="O5" s="17">
        <v>7.0</v>
      </c>
      <c r="P5" s="17">
        <v>0.48</v>
      </c>
      <c r="Q5" s="17">
        <v>0.0</v>
      </c>
      <c r="R5" s="17">
        <v>0.0</v>
      </c>
      <c r="S5" s="17">
        <v>0.0</v>
      </c>
      <c r="T5" s="17">
        <v>0.03</v>
      </c>
      <c r="U5" s="17"/>
      <c r="V5" s="17">
        <v>0.01</v>
      </c>
      <c r="W5" s="17">
        <v>1.7</v>
      </c>
      <c r="X5" s="19"/>
      <c r="Y5" s="19"/>
      <c r="Z5" s="19"/>
      <c r="AA5" s="19"/>
      <c r="AB5" s="19"/>
      <c r="AC5" s="19"/>
      <c r="AD5" s="19"/>
      <c r="AE5" s="19"/>
      <c r="AF5" s="19"/>
      <c r="AG5" s="19"/>
      <c r="AH5" s="19"/>
      <c r="AI5" s="19"/>
      <c r="AJ5" s="21"/>
    </row>
    <row r="6">
      <c r="A6" s="22"/>
      <c r="B6" s="24" t="s">
        <v>37</v>
      </c>
      <c r="C6" s="25">
        <v>69.71199999999999</v>
      </c>
      <c r="D6" s="26">
        <v>17.24</v>
      </c>
      <c r="E6" s="26">
        <v>5.088</v>
      </c>
      <c r="F6" s="26">
        <v>0.0</v>
      </c>
      <c r="G6" s="26">
        <v>40.8</v>
      </c>
      <c r="H6" s="26">
        <v>12.328</v>
      </c>
      <c r="I6" s="26">
        <v>0.6400000000000001</v>
      </c>
      <c r="J6" s="26">
        <v>0.0</v>
      </c>
      <c r="K6" s="26">
        <v>0.0</v>
      </c>
      <c r="L6" s="26">
        <v>0.0</v>
      </c>
      <c r="M6" s="26">
        <v>0.004405488864802962</v>
      </c>
      <c r="N6" s="26">
        <v>55.66799999999999</v>
      </c>
      <c r="O6" s="26">
        <v>8.4</v>
      </c>
      <c r="P6" s="26">
        <v>0.576</v>
      </c>
      <c r="Q6" s="26">
        <v>0.0</v>
      </c>
      <c r="R6" s="26">
        <v>0.0</v>
      </c>
      <c r="S6" s="26">
        <v>0.0</v>
      </c>
      <c r="T6" s="26">
        <v>0.02</v>
      </c>
      <c r="U6" s="26"/>
      <c r="V6" s="26">
        <v>0.0</v>
      </c>
      <c r="W6" s="26">
        <v>1.36</v>
      </c>
      <c r="AJ6" s="28"/>
    </row>
    <row r="7">
      <c r="A7" s="29"/>
      <c r="B7" s="30" t="s">
        <v>38</v>
      </c>
      <c r="C7" s="31">
        <v>67.714</v>
      </c>
      <c r="D7" s="32">
        <v>19.18</v>
      </c>
      <c r="E7" s="32">
        <v>5.936</v>
      </c>
      <c r="F7" s="32">
        <v>0.0</v>
      </c>
      <c r="G7" s="32">
        <v>47.599999999999994</v>
      </c>
      <c r="H7" s="32">
        <v>12.565999999999999</v>
      </c>
      <c r="I7" s="32">
        <v>0.48</v>
      </c>
      <c r="J7" s="32">
        <v>0.0</v>
      </c>
      <c r="K7" s="32">
        <v>0.0</v>
      </c>
      <c r="L7" s="32">
        <v>0.0</v>
      </c>
      <c r="M7" s="32">
        <v>0.003304116648602221</v>
      </c>
      <c r="N7" s="32">
        <v>57.251</v>
      </c>
      <c r="O7" s="32">
        <v>9.799999999999999</v>
      </c>
      <c r="P7" s="32">
        <v>0.6719999999999999</v>
      </c>
      <c r="Q7" s="32">
        <v>0.0</v>
      </c>
      <c r="R7" s="32">
        <v>0.0</v>
      </c>
      <c r="S7" s="32">
        <v>0.0</v>
      </c>
      <c r="T7" s="32">
        <v>0.02</v>
      </c>
      <c r="U7" s="32"/>
      <c r="V7" s="32">
        <v>0.0</v>
      </c>
      <c r="W7" s="32">
        <v>1.02</v>
      </c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4"/>
    </row>
    <row r="8">
      <c r="A8" s="44" t="s">
        <v>44</v>
      </c>
      <c r="B8" s="44"/>
      <c r="C8" s="46">
        <v>80.076</v>
      </c>
      <c r="D8" s="46">
        <v>5.9822</v>
      </c>
      <c r="E8" s="26">
        <v>0.3864</v>
      </c>
      <c r="F8" s="26">
        <v>0.011340000000000001</v>
      </c>
      <c r="G8" s="26">
        <v>8.96</v>
      </c>
      <c r="H8" s="46">
        <v>12.356000000000002</v>
      </c>
      <c r="I8" s="26">
        <v>1.3760000000000001</v>
      </c>
      <c r="J8" s="26">
        <v>0.0</v>
      </c>
      <c r="K8" s="26">
        <v>0.0</v>
      </c>
      <c r="L8" s="26">
        <v>0.0</v>
      </c>
      <c r="M8" s="26">
        <v>0.009471801059326367</v>
      </c>
      <c r="N8" s="46">
        <v>46.2862</v>
      </c>
      <c r="O8" s="26">
        <v>0.9800000000000001</v>
      </c>
      <c r="P8" s="26">
        <v>0.07420000000000002</v>
      </c>
      <c r="Q8" s="26">
        <v>0.24220000000000003</v>
      </c>
      <c r="R8" s="26">
        <v>0.28</v>
      </c>
      <c r="S8" s="26">
        <v>0.07</v>
      </c>
      <c r="T8" s="26"/>
      <c r="U8" s="26"/>
      <c r="V8" s="26"/>
      <c r="W8" s="26"/>
    </row>
    <row r="9">
      <c r="A9" s="44"/>
      <c r="B9" s="44"/>
      <c r="C9" s="26"/>
      <c r="D9" s="26"/>
      <c r="E9" s="26"/>
      <c r="F9" s="26"/>
      <c r="G9" s="26"/>
      <c r="H9" s="26"/>
      <c r="I9" s="26"/>
      <c r="J9" s="26"/>
      <c r="K9" s="26"/>
      <c r="L9" s="26"/>
      <c r="M9" s="26"/>
      <c r="N9" s="26"/>
      <c r="O9" s="26"/>
      <c r="P9" s="26"/>
      <c r="Q9" s="26"/>
      <c r="R9" s="26"/>
      <c r="S9" s="26"/>
      <c r="T9" s="26"/>
      <c r="U9" s="26"/>
      <c r="V9" s="26"/>
      <c r="W9" s="26"/>
    </row>
    <row r="10">
      <c r="A10" s="44" t="s">
        <v>46</v>
      </c>
      <c r="B10" s="44" t="s">
        <v>47</v>
      </c>
      <c r="C10" s="48">
        <v>69.3</v>
      </c>
      <c r="D10" s="48">
        <v>15.5</v>
      </c>
      <c r="E10" s="48">
        <v>4.71</v>
      </c>
      <c r="F10" s="49">
        <v>0.0</v>
      </c>
      <c r="G10" s="49">
        <v>104.0</v>
      </c>
      <c r="H10" s="48">
        <v>13.8</v>
      </c>
      <c r="I10" s="51">
        <v>0.0</v>
      </c>
      <c r="J10" s="51">
        <v>0.0</v>
      </c>
      <c r="K10" s="52">
        <v>0.0</v>
      </c>
      <c r="L10" s="53">
        <v>0.0</v>
      </c>
      <c r="M10" s="54">
        <v>0.0</v>
      </c>
      <c r="N10" s="48">
        <v>51.0</v>
      </c>
      <c r="O10" s="51">
        <v>123.0</v>
      </c>
      <c r="P10" s="51">
        <v>1.73</v>
      </c>
      <c r="Q10" s="51">
        <v>1.82</v>
      </c>
      <c r="R10" s="51">
        <v>32.0</v>
      </c>
      <c r="S10" s="52">
        <v>0.0</v>
      </c>
      <c r="T10" s="26"/>
      <c r="U10" s="26"/>
      <c r="V10" s="26"/>
      <c r="W10" s="26">
        <v>154.0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2:A4"/>
    <mergeCell ref="A5:A7"/>
  </mergeCells>
  <printOptions/>
  <pageMargins bottom="0.75" footer="0.0" header="0.0" left="0.7" right="0.7" top="0.75"/>
  <pageSetup orientation="landscape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3.0" ySplit="2.0" topLeftCell="D3" activePane="bottomRight" state="frozen"/>
      <selection activeCell="D1" sqref="D1" pane="topRight"/>
      <selection activeCell="A3" sqref="A3" pane="bottomLeft"/>
      <selection activeCell="D3" sqref="D3" pane="bottomRight"/>
    </sheetView>
  </sheetViews>
  <sheetFormatPr customHeight="1" defaultColWidth="14.43" defaultRowHeight="15.0"/>
  <cols>
    <col customWidth="1" min="1" max="1" width="11.43"/>
    <col customWidth="1" min="2" max="2" width="20.86"/>
    <col customWidth="1" min="3" max="3" width="39.29"/>
    <col customWidth="1" min="4" max="14" width="11.43"/>
    <col customWidth="1" min="15" max="15" width="12.14"/>
    <col customWidth="1" min="16" max="36" width="11.43"/>
    <col customWidth="1" min="37" max="37" width="11.57"/>
  </cols>
  <sheetData>
    <row r="1">
      <c r="AK1" s="10"/>
    </row>
    <row r="2">
      <c r="C2" s="1" t="s">
        <v>0</v>
      </c>
      <c r="D2" s="11" t="s">
        <v>1</v>
      </c>
      <c r="E2" s="11" t="s">
        <v>2</v>
      </c>
      <c r="F2" s="11" t="s">
        <v>3</v>
      </c>
      <c r="G2" s="11" t="s">
        <v>4</v>
      </c>
      <c r="H2" s="11" t="s">
        <v>5</v>
      </c>
      <c r="I2" s="11" t="s">
        <v>6</v>
      </c>
      <c r="J2" s="11" t="s">
        <v>7</v>
      </c>
      <c r="K2" s="11" t="s">
        <v>8</v>
      </c>
      <c r="L2" s="16" t="s">
        <v>9</v>
      </c>
      <c r="M2" s="4" t="s">
        <v>10</v>
      </c>
      <c r="N2" s="18" t="s">
        <v>11</v>
      </c>
      <c r="O2" s="11" t="s">
        <v>12</v>
      </c>
      <c r="P2" s="11" t="s">
        <v>13</v>
      </c>
      <c r="Q2" s="11" t="s">
        <v>14</v>
      </c>
      <c r="R2" s="11" t="s">
        <v>15</v>
      </c>
      <c r="S2" s="11" t="s">
        <v>16</v>
      </c>
      <c r="T2" s="16" t="s">
        <v>17</v>
      </c>
      <c r="U2" s="20" t="s">
        <v>18</v>
      </c>
      <c r="V2" s="23" t="s">
        <v>19</v>
      </c>
      <c r="W2" s="23" t="s">
        <v>20</v>
      </c>
      <c r="X2" s="27" t="s">
        <v>21</v>
      </c>
      <c r="Y2" s="23" t="s">
        <v>22</v>
      </c>
      <c r="Z2" s="23" t="s">
        <v>23</v>
      </c>
      <c r="AA2" s="9" t="s">
        <v>24</v>
      </c>
      <c r="AB2" s="9" t="s">
        <v>25</v>
      </c>
      <c r="AC2" s="9" t="s">
        <v>26</v>
      </c>
      <c r="AD2" s="9" t="s">
        <v>27</v>
      </c>
      <c r="AE2" s="9" t="s">
        <v>28</v>
      </c>
      <c r="AF2" s="9" t="s">
        <v>29</v>
      </c>
      <c r="AG2" s="9" t="s">
        <v>30</v>
      </c>
      <c r="AH2" s="9" t="s">
        <v>31</v>
      </c>
      <c r="AI2" s="9" t="s">
        <v>32</v>
      </c>
      <c r="AJ2" s="12" t="s">
        <v>33</v>
      </c>
      <c r="AK2" s="12" t="s">
        <v>34</v>
      </c>
    </row>
    <row r="3">
      <c r="A3" s="37" t="s">
        <v>39</v>
      </c>
      <c r="B3" s="38" t="s">
        <v>41</v>
      </c>
      <c r="C3" s="39" t="s">
        <v>42</v>
      </c>
      <c r="D3" s="40">
        <v>73.6</v>
      </c>
      <c r="E3" s="41">
        <v>4.0</v>
      </c>
      <c r="F3" s="41">
        <v>1.42</v>
      </c>
      <c r="G3" s="41">
        <v>0.032</v>
      </c>
      <c r="H3" s="41">
        <v>59.0</v>
      </c>
      <c r="I3" s="41">
        <v>21.1</v>
      </c>
      <c r="J3" s="41">
        <v>0.21</v>
      </c>
      <c r="K3" s="41">
        <v>0.0</v>
      </c>
      <c r="L3" s="42">
        <v>0.0</v>
      </c>
      <c r="M3" s="43">
        <v>0.0</v>
      </c>
      <c r="N3" s="40">
        <v>0.0</v>
      </c>
      <c r="O3" s="41">
        <v>67.0</v>
      </c>
      <c r="P3" s="41">
        <v>15.0</v>
      </c>
      <c r="Q3" s="41">
        <v>0.86</v>
      </c>
      <c r="R3" s="41">
        <v>1.93</v>
      </c>
      <c r="S3" s="41">
        <v>0.0</v>
      </c>
      <c r="T3" s="42">
        <v>0.1</v>
      </c>
      <c r="X3" s="39">
        <v>190.0</v>
      </c>
      <c r="AK3" s="10"/>
    </row>
    <row r="4">
      <c r="A4" s="45" t="s">
        <v>43</v>
      </c>
      <c r="B4" s="38" t="s">
        <v>41</v>
      </c>
      <c r="C4" s="39" t="s">
        <v>45</v>
      </c>
      <c r="D4" s="47">
        <v>70.1</v>
      </c>
      <c r="E4" s="47">
        <v>8.33</v>
      </c>
      <c r="F4" s="47">
        <v>2.76</v>
      </c>
      <c r="G4" s="47">
        <v>0.081</v>
      </c>
      <c r="H4" s="47">
        <v>64.0</v>
      </c>
      <c r="I4" s="47">
        <v>21.3</v>
      </c>
      <c r="J4" s="47">
        <v>0.0</v>
      </c>
      <c r="K4" s="47">
        <v>0.0</v>
      </c>
      <c r="L4" s="47">
        <v>0.0</v>
      </c>
      <c r="M4" s="43">
        <v>0.0</v>
      </c>
      <c r="N4" s="47">
        <v>0.0</v>
      </c>
      <c r="O4" s="47">
        <v>47.0</v>
      </c>
      <c r="P4" s="47">
        <v>7.0</v>
      </c>
      <c r="Q4" s="47">
        <v>0.53</v>
      </c>
      <c r="R4" s="47">
        <v>1.73</v>
      </c>
      <c r="S4" s="41">
        <v>2.0</v>
      </c>
      <c r="T4" s="42">
        <v>0.5</v>
      </c>
      <c r="X4" s="39">
        <v>216.0</v>
      </c>
      <c r="AK4" s="10"/>
    </row>
    <row r="5">
      <c r="A5" s="37" t="s">
        <v>48</v>
      </c>
      <c r="B5" s="38" t="s">
        <v>41</v>
      </c>
      <c r="C5" s="39" t="s">
        <v>47</v>
      </c>
      <c r="D5" s="50">
        <v>69.3</v>
      </c>
      <c r="E5" s="50">
        <v>15.5</v>
      </c>
      <c r="F5" s="50">
        <v>4.71</v>
      </c>
      <c r="G5" s="50">
        <v>0.0</v>
      </c>
      <c r="H5" s="50">
        <v>104.0</v>
      </c>
      <c r="I5" s="50">
        <v>13.8</v>
      </c>
      <c r="J5" s="41">
        <v>0.0</v>
      </c>
      <c r="K5" s="41">
        <v>0.0</v>
      </c>
      <c r="L5" s="42">
        <v>0.0</v>
      </c>
      <c r="M5" s="43">
        <v>0.0</v>
      </c>
      <c r="N5" s="40">
        <v>0.0</v>
      </c>
      <c r="O5" s="41">
        <v>51.0</v>
      </c>
      <c r="P5" s="41">
        <v>123.0</v>
      </c>
      <c r="Q5" s="41">
        <v>1.73</v>
      </c>
      <c r="R5" s="41">
        <v>1.82</v>
      </c>
      <c r="S5" s="41">
        <v>32.0</v>
      </c>
      <c r="T5" s="42">
        <v>0.0</v>
      </c>
      <c r="X5" s="39">
        <v>154.0</v>
      </c>
      <c r="AK5" s="10"/>
    </row>
    <row r="6">
      <c r="A6" s="55" t="s">
        <v>49</v>
      </c>
      <c r="B6" s="39" t="s">
        <v>41</v>
      </c>
      <c r="C6" s="39" t="s">
        <v>50</v>
      </c>
      <c r="D6" s="56">
        <v>10.8</v>
      </c>
      <c r="E6" s="50">
        <v>85.8</v>
      </c>
      <c r="F6" s="50">
        <v>34.6</v>
      </c>
      <c r="G6" s="50">
        <v>0.0</v>
      </c>
      <c r="H6" s="50">
        <v>70.0</v>
      </c>
      <c r="I6" s="50">
        <v>2.9</v>
      </c>
      <c r="J6" s="41">
        <v>0.0</v>
      </c>
      <c r="K6" s="41">
        <v>0.0</v>
      </c>
      <c r="L6" s="42">
        <v>0.0</v>
      </c>
      <c r="M6" s="43">
        <v>0.0</v>
      </c>
      <c r="N6" s="40">
        <v>0.0</v>
      </c>
      <c r="O6" s="41">
        <v>22.0</v>
      </c>
      <c r="P6" s="41">
        <v>6.0</v>
      </c>
      <c r="Q6" s="41">
        <v>1.1</v>
      </c>
      <c r="R6" s="41">
        <v>0.8</v>
      </c>
      <c r="S6" s="41">
        <v>10.0</v>
      </c>
      <c r="T6" s="42">
        <v>0.0</v>
      </c>
      <c r="X6" s="39">
        <v>37.0</v>
      </c>
      <c r="AK6" s="10"/>
    </row>
    <row r="7">
      <c r="A7" s="57" t="s">
        <v>51</v>
      </c>
      <c r="B7" s="39" t="s">
        <v>41</v>
      </c>
      <c r="C7" s="39" t="s">
        <v>52</v>
      </c>
      <c r="D7" s="58">
        <v>44.9</v>
      </c>
      <c r="E7" s="58">
        <v>44.2</v>
      </c>
      <c r="F7" s="58">
        <v>12.1</v>
      </c>
      <c r="G7" s="58">
        <v>0.229</v>
      </c>
      <c r="H7" s="58">
        <v>105.0</v>
      </c>
      <c r="I7" s="58">
        <v>9.58</v>
      </c>
      <c r="J7" s="59">
        <v>0.79</v>
      </c>
      <c r="K7" s="59">
        <v>0.0</v>
      </c>
      <c r="L7" s="60">
        <v>0.0</v>
      </c>
      <c r="M7" s="61">
        <v>0.0</v>
      </c>
      <c r="N7" s="62">
        <v>0.0</v>
      </c>
      <c r="O7" s="59">
        <v>51.0</v>
      </c>
      <c r="P7" s="59">
        <v>6.0</v>
      </c>
      <c r="Q7" s="59">
        <v>0.37</v>
      </c>
      <c r="R7" s="59">
        <v>0.65</v>
      </c>
      <c r="S7" s="59">
        <v>59.0</v>
      </c>
      <c r="T7" s="59">
        <v>0.2</v>
      </c>
      <c r="X7" s="39">
        <v>95.0</v>
      </c>
      <c r="AK7" s="10"/>
    </row>
    <row r="8">
      <c r="A8" s="37" t="s">
        <v>53</v>
      </c>
      <c r="B8" s="39" t="s">
        <v>41</v>
      </c>
      <c r="C8" s="39" t="s">
        <v>54</v>
      </c>
      <c r="D8" s="58">
        <v>72.9</v>
      </c>
      <c r="E8" s="58">
        <v>5.41</v>
      </c>
      <c r="F8" s="58">
        <v>1.87</v>
      </c>
      <c r="G8" s="58">
        <v>0.0</v>
      </c>
      <c r="H8" s="58">
        <v>68.0</v>
      </c>
      <c r="I8" s="58">
        <v>20.5</v>
      </c>
      <c r="J8" s="59">
        <v>0.0</v>
      </c>
      <c r="K8" s="41">
        <v>0.0</v>
      </c>
      <c r="L8" s="60">
        <v>0.0</v>
      </c>
      <c r="M8" s="61">
        <v>0.0</v>
      </c>
      <c r="N8" s="62">
        <v>0.0</v>
      </c>
      <c r="O8" s="59">
        <v>55.0</v>
      </c>
      <c r="P8" s="59">
        <v>6.0</v>
      </c>
      <c r="Q8" s="59">
        <v>1.01</v>
      </c>
      <c r="R8" s="59">
        <v>2.27</v>
      </c>
      <c r="S8" s="41">
        <v>2.0</v>
      </c>
      <c r="T8" s="42">
        <v>0.6</v>
      </c>
      <c r="X8" s="39">
        <v>229.0</v>
      </c>
      <c r="AK8" s="10"/>
    </row>
    <row r="9">
      <c r="A9" s="37" t="s">
        <v>55</v>
      </c>
      <c r="B9" s="39" t="s">
        <v>41</v>
      </c>
      <c r="C9" s="39" t="s">
        <v>56</v>
      </c>
      <c r="D9" s="61">
        <v>68.6</v>
      </c>
      <c r="E9" s="61">
        <v>10.6</v>
      </c>
      <c r="F9" s="61">
        <v>3.53</v>
      </c>
      <c r="G9" s="61">
        <v>0.091</v>
      </c>
      <c r="H9" s="61">
        <v>63.0</v>
      </c>
      <c r="I9" s="61">
        <v>20.3</v>
      </c>
      <c r="J9" s="63">
        <v>0.0</v>
      </c>
      <c r="K9" s="47">
        <v>0.0</v>
      </c>
      <c r="L9" s="63">
        <v>0.0</v>
      </c>
      <c r="M9" s="61">
        <v>0.0</v>
      </c>
      <c r="N9" s="63">
        <v>0.0</v>
      </c>
      <c r="O9" s="63">
        <v>73.0</v>
      </c>
      <c r="P9" s="63">
        <v>12.0</v>
      </c>
      <c r="Q9" s="63">
        <v>0.62</v>
      </c>
      <c r="R9" s="63">
        <v>1.7</v>
      </c>
      <c r="S9" s="41">
        <v>5.0</v>
      </c>
      <c r="T9" s="42">
        <v>0.5</v>
      </c>
      <c r="X9" s="39">
        <v>216.0</v>
      </c>
      <c r="AK9" s="10"/>
    </row>
    <row r="10">
      <c r="A10" s="57" t="s">
        <v>57</v>
      </c>
      <c r="B10" s="39" t="s">
        <v>41</v>
      </c>
      <c r="C10" s="39" t="s">
        <v>58</v>
      </c>
      <c r="D10" s="64">
        <v>65.1</v>
      </c>
      <c r="E10" s="64">
        <v>15.0</v>
      </c>
      <c r="F10" s="64">
        <v>5.28</v>
      </c>
      <c r="G10" s="64">
        <v>0.0</v>
      </c>
      <c r="H10" s="64">
        <v>67.0</v>
      </c>
      <c r="I10" s="64">
        <v>19.0</v>
      </c>
      <c r="J10" s="65">
        <v>0.0</v>
      </c>
      <c r="K10" s="65">
        <v>0.0</v>
      </c>
      <c r="L10" s="66">
        <v>0.0</v>
      </c>
      <c r="M10" s="61">
        <v>0.0</v>
      </c>
      <c r="N10" s="67">
        <v>0.0</v>
      </c>
      <c r="O10" s="65">
        <v>55.0</v>
      </c>
      <c r="P10" s="65">
        <v>19.0</v>
      </c>
      <c r="Q10" s="65">
        <v>0.86</v>
      </c>
      <c r="R10" s="64">
        <v>2.01</v>
      </c>
      <c r="S10" s="58">
        <v>2.0</v>
      </c>
      <c r="T10" s="58">
        <v>0.0</v>
      </c>
      <c r="X10" s="39">
        <v>200.0</v>
      </c>
      <c r="AK10" s="10"/>
    </row>
    <row r="11">
      <c r="A11" s="68"/>
      <c r="B11" s="39" t="s">
        <v>41</v>
      </c>
      <c r="C11" s="39" t="s">
        <v>59</v>
      </c>
      <c r="D11" s="69">
        <v>65.96242673514138</v>
      </c>
      <c r="E11" s="69">
        <v>10.39665791930552</v>
      </c>
      <c r="F11" s="69">
        <v>3.146299510192448</v>
      </c>
      <c r="G11" s="69">
        <v>0.02049854057851798</v>
      </c>
      <c r="H11" s="69">
        <v>38.86714488952452</v>
      </c>
      <c r="I11" s="69">
        <v>12.279407688903447</v>
      </c>
      <c r="J11" s="70">
        <v>6.841206854305381</v>
      </c>
      <c r="K11" s="70">
        <v>0.14621872069968223</v>
      </c>
      <c r="L11" s="71">
        <v>0.0</v>
      </c>
      <c r="M11" s="72">
        <v>4.295832760349341</v>
      </c>
      <c r="N11" s="73">
        <v>0.878041001299769</v>
      </c>
      <c r="O11" s="70">
        <v>777.5</v>
      </c>
      <c r="P11" s="70">
        <v>41.22452291544256</v>
      </c>
      <c r="Q11" s="70">
        <v>0.8357459401479674</v>
      </c>
      <c r="R11" s="69">
        <v>0.7710720809695139</v>
      </c>
      <c r="S11" s="74">
        <v>11.459190454878447</v>
      </c>
      <c r="T11" s="74">
        <v>0.051859493490485145</v>
      </c>
      <c r="U11" s="75">
        <v>1.32</v>
      </c>
      <c r="V11" s="75">
        <v>0.01</v>
      </c>
      <c r="W11" s="75">
        <v>0.4</v>
      </c>
      <c r="X11" s="26">
        <v>178.43</v>
      </c>
      <c r="Y11" s="76">
        <v>0.05</v>
      </c>
      <c r="Z11" s="77">
        <v>3.0E-4</v>
      </c>
      <c r="AA11" s="39">
        <v>0.0084</v>
      </c>
      <c r="AC11" s="39">
        <v>0.3</v>
      </c>
      <c r="AH11" s="39">
        <v>0.17</v>
      </c>
      <c r="AI11" s="39">
        <v>0.012</v>
      </c>
      <c r="AK11" s="10" t="s">
        <v>60</v>
      </c>
    </row>
    <row r="12">
      <c r="A12" s="78" t="s">
        <v>61</v>
      </c>
      <c r="B12" s="39" t="s">
        <v>41</v>
      </c>
      <c r="C12" s="39" t="s">
        <v>62</v>
      </c>
      <c r="D12" s="64">
        <v>51.4</v>
      </c>
      <c r="E12" s="69">
        <v>13.0</v>
      </c>
      <c r="F12" s="69">
        <v>0.0</v>
      </c>
      <c r="G12" s="69">
        <v>0.0</v>
      </c>
      <c r="H12" s="69">
        <v>0.0</v>
      </c>
      <c r="I12" s="69">
        <v>34.5</v>
      </c>
      <c r="J12" s="70">
        <v>0.3</v>
      </c>
      <c r="K12" s="70">
        <v>0.0</v>
      </c>
      <c r="L12" s="71">
        <v>0.0</v>
      </c>
      <c r="M12" s="72">
        <v>0.0</v>
      </c>
      <c r="N12" s="73">
        <v>0.0</v>
      </c>
      <c r="O12" s="79">
        <v>185.3</v>
      </c>
      <c r="P12" s="70">
        <v>0.0</v>
      </c>
      <c r="Q12" s="70">
        <v>0.0</v>
      </c>
      <c r="R12" s="69">
        <v>0.0</v>
      </c>
      <c r="S12" s="74">
        <v>0.0</v>
      </c>
      <c r="T12" s="74">
        <v>0.0</v>
      </c>
      <c r="U12" s="76"/>
      <c r="V12" s="76"/>
      <c r="W12" s="76"/>
      <c r="X12" s="80"/>
      <c r="Y12" s="76"/>
      <c r="Z12" s="77"/>
      <c r="AK12" s="10"/>
    </row>
    <row r="13">
      <c r="A13" s="78" t="s">
        <v>61</v>
      </c>
      <c r="B13" s="39" t="s">
        <v>63</v>
      </c>
      <c r="C13" s="39" t="s">
        <v>64</v>
      </c>
      <c r="D13" s="69">
        <v>81.7</v>
      </c>
      <c r="E13" s="69">
        <v>5.6</v>
      </c>
      <c r="F13" s="69">
        <v>0.0</v>
      </c>
      <c r="G13" s="81">
        <v>0.0</v>
      </c>
      <c r="H13" s="82">
        <v>0.0</v>
      </c>
      <c r="I13" s="69">
        <v>10.9</v>
      </c>
      <c r="J13" s="82">
        <v>1.6</v>
      </c>
      <c r="K13" s="81">
        <v>0.0</v>
      </c>
      <c r="L13" s="83">
        <v>0.0</v>
      </c>
      <c r="M13" s="84">
        <v>0.0</v>
      </c>
      <c r="N13" s="85">
        <v>0.011013722162007404</v>
      </c>
      <c r="O13" s="69">
        <v>46.17</v>
      </c>
      <c r="P13" s="86">
        <v>0.0</v>
      </c>
      <c r="Q13" s="86">
        <v>0.0</v>
      </c>
      <c r="R13" s="82">
        <v>0.0</v>
      </c>
      <c r="S13" s="87">
        <v>0.0</v>
      </c>
      <c r="T13" s="88">
        <v>0.0</v>
      </c>
      <c r="U13" s="39">
        <v>0.05</v>
      </c>
      <c r="W13" s="39">
        <v>0.01</v>
      </c>
      <c r="X13" s="26">
        <v>3.44</v>
      </c>
      <c r="AK13" s="10"/>
    </row>
    <row r="14">
      <c r="A14" s="68" t="s">
        <v>65</v>
      </c>
      <c r="B14" s="39" t="s">
        <v>41</v>
      </c>
      <c r="C14" s="39" t="s">
        <v>66</v>
      </c>
      <c r="D14" s="64">
        <f>100-(E14+I14+J14)</f>
        <v>61.72</v>
      </c>
      <c r="E14" s="64">
        <v>25.0</v>
      </c>
      <c r="F14" s="64">
        <v>8.48</v>
      </c>
      <c r="G14" s="64">
        <v>0.0</v>
      </c>
      <c r="H14" s="64">
        <v>68.0</v>
      </c>
      <c r="I14" s="64">
        <v>13.28</v>
      </c>
      <c r="J14" s="65">
        <v>0.0</v>
      </c>
      <c r="K14" s="65">
        <v>0.0</v>
      </c>
      <c r="L14" s="66">
        <v>0.0</v>
      </c>
      <c r="M14" s="61">
        <v>0.0</v>
      </c>
      <c r="N14" s="67">
        <v>0.0</v>
      </c>
      <c r="O14" s="65">
        <v>62.0</v>
      </c>
      <c r="P14" s="65">
        <v>14.0</v>
      </c>
      <c r="Q14" s="65">
        <v>0.96</v>
      </c>
      <c r="R14" s="64">
        <v>0.0</v>
      </c>
      <c r="S14" s="58">
        <v>0.0</v>
      </c>
      <c r="T14" s="58">
        <v>0.0</v>
      </c>
      <c r="AK14" s="10"/>
    </row>
    <row r="15">
      <c r="A15" s="89" t="s">
        <v>67</v>
      </c>
      <c r="B15" s="39" t="s">
        <v>41</v>
      </c>
      <c r="C15" s="39" t="s">
        <v>68</v>
      </c>
      <c r="D15" s="90">
        <v>66.2</v>
      </c>
      <c r="E15" s="91">
        <v>13.1</v>
      </c>
      <c r="F15" s="91">
        <v>5.11</v>
      </c>
      <c r="G15" s="91">
        <v>0.696</v>
      </c>
      <c r="H15" s="91">
        <v>49.0</v>
      </c>
      <c r="I15" s="91">
        <v>18.6</v>
      </c>
      <c r="J15" s="91">
        <v>0.0</v>
      </c>
      <c r="K15" s="91">
        <v>0.0</v>
      </c>
      <c r="L15" s="92">
        <v>0.0</v>
      </c>
      <c r="M15" s="61">
        <v>0.0</v>
      </c>
      <c r="N15" s="90">
        <v>0.0</v>
      </c>
      <c r="O15" s="91">
        <v>103.0</v>
      </c>
      <c r="P15" s="91">
        <v>12.0</v>
      </c>
      <c r="Q15" s="91">
        <v>1.37</v>
      </c>
      <c r="R15" s="93">
        <v>2.51</v>
      </c>
      <c r="S15" s="94">
        <v>0.0</v>
      </c>
      <c r="T15" s="95">
        <v>0.0</v>
      </c>
      <c r="X15" s="39">
        <v>197.0</v>
      </c>
      <c r="AK15" s="10"/>
    </row>
    <row r="16">
      <c r="A16" s="38" t="s">
        <v>69</v>
      </c>
      <c r="B16" s="39" t="s">
        <v>41</v>
      </c>
      <c r="C16" s="39" t="s">
        <v>70</v>
      </c>
      <c r="D16" s="96">
        <v>72.6077</v>
      </c>
      <c r="E16" s="96">
        <v>9.386499999999998</v>
      </c>
      <c r="F16" s="96">
        <v>3.6616500000000003</v>
      </c>
      <c r="G16" s="96">
        <v>0.49763999999999997</v>
      </c>
      <c r="H16" s="96">
        <v>35.035</v>
      </c>
      <c r="I16" s="96">
        <v>14.049000000000001</v>
      </c>
      <c r="J16" s="96">
        <v>0.02</v>
      </c>
      <c r="K16" s="96">
        <v>0.0</v>
      </c>
      <c r="L16" s="96">
        <v>0.0</v>
      </c>
      <c r="M16" s="97">
        <v>0.0</v>
      </c>
      <c r="N16" s="96">
        <v>0.0</v>
      </c>
      <c r="O16" s="96">
        <v>585.3810000000001</v>
      </c>
      <c r="P16" s="96">
        <v>10.259</v>
      </c>
      <c r="Q16" s="96">
        <v>0.97955</v>
      </c>
      <c r="R16" s="97">
        <v>1.7946499999999999</v>
      </c>
      <c r="S16" s="97">
        <v>0.0</v>
      </c>
      <c r="T16" s="97">
        <v>0.0</v>
      </c>
      <c r="U16" s="97">
        <v>1.08</v>
      </c>
      <c r="W16" s="97">
        <v>0.4</v>
      </c>
      <c r="X16" s="97">
        <v>228.0</v>
      </c>
      <c r="AD16" s="39">
        <v>0.72</v>
      </c>
      <c r="AK16" s="10"/>
    </row>
    <row r="17">
      <c r="A17" s="37" t="s">
        <v>71</v>
      </c>
      <c r="B17" s="39" t="s">
        <v>41</v>
      </c>
      <c r="C17" s="39" t="s">
        <v>72</v>
      </c>
      <c r="D17" s="43">
        <v>74.8</v>
      </c>
      <c r="E17" s="43">
        <v>1.93</v>
      </c>
      <c r="F17" s="43">
        <v>0.349</v>
      </c>
      <c r="G17" s="43">
        <v>0.009</v>
      </c>
      <c r="H17" s="43">
        <v>73.0</v>
      </c>
      <c r="I17" s="43">
        <v>22.5</v>
      </c>
      <c r="J17" s="43">
        <v>0.0</v>
      </c>
      <c r="K17" s="43">
        <v>0.0</v>
      </c>
      <c r="L17" s="43">
        <v>0.0</v>
      </c>
      <c r="M17" s="43">
        <v>0.0</v>
      </c>
      <c r="N17" s="43">
        <v>0.0</v>
      </c>
      <c r="O17" s="43">
        <v>66.0</v>
      </c>
      <c r="P17" s="43">
        <v>4.0</v>
      </c>
      <c r="Q17" s="43">
        <v>0.35</v>
      </c>
      <c r="R17" s="43">
        <v>0.65</v>
      </c>
      <c r="S17" s="43">
        <v>0.0</v>
      </c>
      <c r="T17" s="43">
        <v>0.0</v>
      </c>
      <c r="X17" s="39">
        <v>215.0</v>
      </c>
      <c r="AK17" s="10"/>
    </row>
    <row r="18">
      <c r="A18" s="38" t="s">
        <v>69</v>
      </c>
      <c r="B18" s="39" t="s">
        <v>41</v>
      </c>
      <c r="C18" s="39" t="s">
        <v>79</v>
      </c>
      <c r="D18" s="53">
        <v>73.23687</v>
      </c>
      <c r="E18" s="98">
        <v>3.672</v>
      </c>
      <c r="F18" s="98">
        <v>1.30356</v>
      </c>
      <c r="G18" s="98">
        <v>0.029376000000000003</v>
      </c>
      <c r="H18" s="98">
        <v>54.162</v>
      </c>
      <c r="I18" s="98">
        <v>19.3698</v>
      </c>
      <c r="J18" s="98">
        <v>0.19278</v>
      </c>
      <c r="K18" s="99">
        <v>0.0</v>
      </c>
      <c r="L18" s="99">
        <v>0.0</v>
      </c>
      <c r="M18" s="99">
        <v>0.0</v>
      </c>
      <c r="N18" s="99">
        <v>0.0</v>
      </c>
      <c r="O18" s="98">
        <v>380.61912</v>
      </c>
      <c r="P18" s="98">
        <v>14.030100000000001</v>
      </c>
      <c r="Q18" s="98">
        <v>0.7894800000000001</v>
      </c>
      <c r="R18" s="98">
        <v>1.7717399999999999</v>
      </c>
      <c r="S18" s="99">
        <v>0.0</v>
      </c>
      <c r="T18" s="98">
        <v>0.0918</v>
      </c>
      <c r="U18" s="100">
        <v>0.72</v>
      </c>
      <c r="W18" s="100">
        <v>0.3</v>
      </c>
      <c r="X18" s="80">
        <v>236.0</v>
      </c>
      <c r="AD18" s="39">
        <v>0.48</v>
      </c>
      <c r="AK18" s="10"/>
    </row>
    <row r="19">
      <c r="A19" s="38" t="s">
        <v>69</v>
      </c>
      <c r="B19" s="39" t="s">
        <v>41</v>
      </c>
      <c r="C19" s="39" t="s">
        <v>82</v>
      </c>
      <c r="D19" s="53">
        <v>74.01008999999999</v>
      </c>
      <c r="E19" s="98">
        <v>3.5496</v>
      </c>
      <c r="F19" s="98">
        <v>1.2601079999999998</v>
      </c>
      <c r="G19" s="98">
        <v>0.0283968</v>
      </c>
      <c r="H19" s="98">
        <v>52.3566</v>
      </c>
      <c r="I19" s="98">
        <v>18.724140000000002</v>
      </c>
      <c r="J19" s="98">
        <v>0.186354</v>
      </c>
      <c r="K19" s="99">
        <v>0.0</v>
      </c>
      <c r="L19" s="99">
        <v>0.0</v>
      </c>
      <c r="M19" s="99">
        <v>0.0</v>
      </c>
      <c r="N19" s="99">
        <v>0.0</v>
      </c>
      <c r="O19" s="98">
        <v>378.69132</v>
      </c>
      <c r="P19" s="98">
        <v>13.662900000000002</v>
      </c>
      <c r="Q19" s="98">
        <v>0.763164</v>
      </c>
      <c r="R19" s="98">
        <v>1.712682</v>
      </c>
      <c r="S19" s="99">
        <v>0.0</v>
      </c>
      <c r="T19" s="98">
        <v>0.08874000000000001</v>
      </c>
      <c r="U19" s="100">
        <v>0.72</v>
      </c>
      <c r="W19" s="100">
        <v>0.3</v>
      </c>
      <c r="X19" s="80">
        <v>231.0</v>
      </c>
      <c r="AD19" s="39">
        <v>0.48</v>
      </c>
      <c r="AK19" s="10"/>
    </row>
    <row r="20">
      <c r="A20" s="68" t="s">
        <v>73</v>
      </c>
      <c r="B20" s="39" t="s">
        <v>41</v>
      </c>
      <c r="C20" s="39" t="s">
        <v>74</v>
      </c>
      <c r="D20" s="53">
        <v>1.8</v>
      </c>
      <c r="E20" s="53">
        <v>31.3</v>
      </c>
      <c r="F20" s="98">
        <v>11.4</v>
      </c>
      <c r="G20" s="98">
        <v>0.0</v>
      </c>
      <c r="H20" s="98">
        <v>95.0</v>
      </c>
      <c r="I20" s="53">
        <v>61.3</v>
      </c>
      <c r="J20" s="98">
        <v>0.0</v>
      </c>
      <c r="K20" s="99">
        <v>0.0</v>
      </c>
      <c r="L20" s="99">
        <v>0.0</v>
      </c>
      <c r="M20" s="99">
        <v>0.0</v>
      </c>
      <c r="N20" s="99">
        <v>0.0</v>
      </c>
      <c r="O20" s="99">
        <v>1820.0</v>
      </c>
      <c r="P20" s="98">
        <v>30.0</v>
      </c>
      <c r="Q20" s="98">
        <v>0.88</v>
      </c>
      <c r="R20" s="98">
        <v>0.56</v>
      </c>
      <c r="S20" s="99">
        <v>12.0</v>
      </c>
      <c r="T20" s="98">
        <v>0.0</v>
      </c>
      <c r="U20" s="100"/>
      <c r="W20" s="100"/>
      <c r="X20" s="80">
        <v>85.0</v>
      </c>
      <c r="AK20" s="10"/>
    </row>
    <row r="21" ht="15.75" customHeight="1">
      <c r="A21" s="38" t="s">
        <v>69</v>
      </c>
      <c r="B21" s="39" t="s">
        <v>41</v>
      </c>
      <c r="C21" s="39" t="s">
        <v>85</v>
      </c>
      <c r="D21" s="53">
        <v>66.75433916458407</v>
      </c>
      <c r="E21" s="53">
        <v>13.309889325240983</v>
      </c>
      <c r="F21" s="98">
        <v>4.685081042484827</v>
      </c>
      <c r="G21" s="98">
        <v>0.0</v>
      </c>
      <c r="H21" s="98">
        <v>59.45083898607639</v>
      </c>
      <c r="I21" s="53">
        <v>16.859193145305245</v>
      </c>
      <c r="J21" s="98">
        <v>0.0</v>
      </c>
      <c r="K21" s="99">
        <v>0.0</v>
      </c>
      <c r="L21" s="99">
        <v>0.0</v>
      </c>
      <c r="M21" s="99">
        <v>0.0</v>
      </c>
      <c r="N21" s="99">
        <v>0.0</v>
      </c>
      <c r="O21" s="99">
        <v>369.5672545519457</v>
      </c>
      <c r="P21" s="98">
        <v>17.21096751160299</v>
      </c>
      <c r="Q21" s="98">
        <v>0.7631003213138163</v>
      </c>
      <c r="R21" s="98">
        <v>1.7835251695822916</v>
      </c>
      <c r="S21" s="99">
        <v>1.774651910032131</v>
      </c>
      <c r="T21" s="98">
        <v>0.0</v>
      </c>
      <c r="U21" s="100">
        <v>0.72</v>
      </c>
      <c r="W21" s="100">
        <v>0.31</v>
      </c>
      <c r="X21" s="80">
        <v>241.0</v>
      </c>
      <c r="AD21" s="39">
        <v>0.48</v>
      </c>
      <c r="AK21" s="10"/>
    </row>
    <row r="22" ht="15.75" customHeight="1">
      <c r="A22" s="68" t="s">
        <v>75</v>
      </c>
      <c r="B22" s="39" t="s">
        <v>41</v>
      </c>
      <c r="C22" s="39" t="s">
        <v>76</v>
      </c>
      <c r="D22" s="53">
        <v>0.0</v>
      </c>
      <c r="E22" s="53">
        <v>100.0</v>
      </c>
      <c r="F22" s="98">
        <v>39.2</v>
      </c>
      <c r="G22" s="98">
        <v>0.0</v>
      </c>
      <c r="H22" s="98">
        <v>0.0</v>
      </c>
      <c r="I22" s="53">
        <v>0.0</v>
      </c>
      <c r="J22" s="98">
        <v>0.0</v>
      </c>
      <c r="K22" s="99">
        <v>0.0</v>
      </c>
      <c r="L22" s="99">
        <v>0.0</v>
      </c>
      <c r="M22" s="99">
        <v>0.0</v>
      </c>
      <c r="N22" s="99">
        <v>0.0</v>
      </c>
      <c r="O22" s="99">
        <v>0.0</v>
      </c>
      <c r="P22" s="98">
        <v>0.0</v>
      </c>
      <c r="Q22" s="98">
        <v>0.0</v>
      </c>
      <c r="R22" s="98">
        <v>0.11</v>
      </c>
      <c r="S22" s="99">
        <v>0.0</v>
      </c>
      <c r="T22" s="98">
        <v>2.5</v>
      </c>
      <c r="U22" s="100"/>
      <c r="W22" s="100"/>
      <c r="X22" s="80"/>
      <c r="AK22" s="10"/>
    </row>
    <row r="23" ht="15.75" customHeight="1">
      <c r="A23" s="101" t="s">
        <v>77</v>
      </c>
      <c r="B23" s="39" t="s">
        <v>41</v>
      </c>
      <c r="C23" s="39" t="s">
        <v>78</v>
      </c>
      <c r="D23" s="53">
        <v>22.2</v>
      </c>
      <c r="E23" s="53">
        <v>69.6</v>
      </c>
      <c r="F23" s="98">
        <v>25.3</v>
      </c>
      <c r="G23" s="98">
        <v>0.0</v>
      </c>
      <c r="H23" s="98">
        <v>90.0</v>
      </c>
      <c r="I23" s="53">
        <v>6.38</v>
      </c>
      <c r="J23" s="98">
        <v>0.0</v>
      </c>
      <c r="K23" s="99">
        <v>0.0</v>
      </c>
      <c r="L23" s="99">
        <v>0.0</v>
      </c>
      <c r="M23" s="99">
        <v>0.0</v>
      </c>
      <c r="N23" s="99">
        <v>0.0</v>
      </c>
      <c r="O23" s="99">
        <v>25.0</v>
      </c>
      <c r="P23" s="98">
        <v>4.0</v>
      </c>
      <c r="Q23" s="98">
        <v>0.42</v>
      </c>
      <c r="R23" s="98">
        <v>0.84</v>
      </c>
      <c r="S23" s="99">
        <v>3.0</v>
      </c>
      <c r="T23" s="98">
        <v>0.0</v>
      </c>
      <c r="U23" s="100"/>
      <c r="W23" s="100"/>
      <c r="X23" s="80">
        <v>86.0</v>
      </c>
      <c r="AK23" s="10"/>
    </row>
    <row r="24" ht="15.75" customHeight="1">
      <c r="A24" s="101" t="s">
        <v>80</v>
      </c>
      <c r="B24" s="39" t="s">
        <v>41</v>
      </c>
      <c r="C24" s="39" t="s">
        <v>81</v>
      </c>
      <c r="D24" s="102">
        <v>36.7</v>
      </c>
      <c r="E24" s="58">
        <v>53.0</v>
      </c>
      <c r="F24" s="58">
        <v>19.3</v>
      </c>
      <c r="G24" s="58">
        <v>0.0</v>
      </c>
      <c r="H24" s="58">
        <v>72.0</v>
      </c>
      <c r="I24" s="58">
        <v>9.34</v>
      </c>
      <c r="J24" s="58">
        <v>0.0</v>
      </c>
      <c r="K24" s="58">
        <v>0.0</v>
      </c>
      <c r="L24" s="103">
        <v>0.0</v>
      </c>
      <c r="M24" s="61">
        <v>0.0</v>
      </c>
      <c r="N24" s="102">
        <v>0.0</v>
      </c>
      <c r="O24" s="58">
        <v>32.0</v>
      </c>
      <c r="P24" s="58">
        <v>5.0</v>
      </c>
      <c r="Q24" s="58">
        <v>0.52</v>
      </c>
      <c r="R24" s="58">
        <v>1.02</v>
      </c>
      <c r="S24" s="58">
        <v>3.0</v>
      </c>
      <c r="T24" s="103">
        <v>0.0</v>
      </c>
      <c r="X24" s="80">
        <v>108.0</v>
      </c>
      <c r="AK24" s="10"/>
    </row>
    <row r="25" ht="15.75" customHeight="1">
      <c r="A25" s="101" t="s">
        <v>83</v>
      </c>
      <c r="B25" s="39" t="s">
        <v>41</v>
      </c>
      <c r="C25" s="39" t="s">
        <v>84</v>
      </c>
      <c r="D25" s="102">
        <v>53.3</v>
      </c>
      <c r="E25" s="58">
        <v>31.3</v>
      </c>
      <c r="F25" s="58">
        <v>12.9</v>
      </c>
      <c r="G25" s="58">
        <v>0.977</v>
      </c>
      <c r="H25" s="58">
        <v>62.0</v>
      </c>
      <c r="I25" s="58">
        <v>15.8</v>
      </c>
      <c r="J25" s="58">
        <v>0.0</v>
      </c>
      <c r="K25" s="58">
        <v>0.0</v>
      </c>
      <c r="L25" s="103">
        <v>0.0</v>
      </c>
      <c r="M25" s="61">
        <v>0.0</v>
      </c>
      <c r="N25" s="102">
        <v>0.0</v>
      </c>
      <c r="O25" s="58">
        <v>54.0</v>
      </c>
      <c r="P25" s="58">
        <v>9.0</v>
      </c>
      <c r="Q25" s="58">
        <v>1.11</v>
      </c>
      <c r="R25" s="58">
        <v>2.66</v>
      </c>
      <c r="S25" s="58">
        <v>9.0</v>
      </c>
      <c r="T25" s="103">
        <v>0.2</v>
      </c>
      <c r="X25" s="80">
        <v>118.0</v>
      </c>
      <c r="AK25" s="10"/>
    </row>
    <row r="26" ht="15.75" customHeight="1">
      <c r="A26" s="101"/>
      <c r="B26" s="39" t="s">
        <v>41</v>
      </c>
      <c r="C26" s="39" t="s">
        <v>86</v>
      </c>
      <c r="D26" s="104">
        <v>73.1368665458409</v>
      </c>
      <c r="E26" s="74">
        <v>2.7910873120429978</v>
      </c>
      <c r="F26" s="74">
        <v>0.9602025373414163</v>
      </c>
      <c r="G26" s="74">
        <v>0.015147437285169681</v>
      </c>
      <c r="H26" s="74">
        <v>34.99098006374602</v>
      </c>
      <c r="I26" s="74">
        <v>15.570593919380043</v>
      </c>
      <c r="J26" s="74">
        <v>3.8273918755077814</v>
      </c>
      <c r="K26" s="74">
        <v>0.6933873132929192</v>
      </c>
      <c r="L26" s="105">
        <v>0.6809347915755266</v>
      </c>
      <c r="M26" s="72">
        <v>1.5997400162489848</v>
      </c>
      <c r="N26" s="104">
        <v>0.6509472407974503</v>
      </c>
      <c r="O26" s="74">
        <v>816.5</v>
      </c>
      <c r="P26" s="74">
        <v>31.54670900568715</v>
      </c>
      <c r="Q26" s="74">
        <v>0.8055251496781451</v>
      </c>
      <c r="R26" s="74">
        <v>1.2599689719392542</v>
      </c>
      <c r="S26" s="74">
        <v>0.42679932504218493</v>
      </c>
      <c r="T26" s="106">
        <v>0.16278899807416922</v>
      </c>
      <c r="U26" s="107">
        <v>1.35</v>
      </c>
      <c r="V26" s="107">
        <v>0.01</v>
      </c>
      <c r="W26" s="107">
        <v>0.5</v>
      </c>
      <c r="X26" s="26">
        <v>242.7</v>
      </c>
      <c r="Y26" s="108">
        <v>0.05</v>
      </c>
      <c r="Z26" s="109">
        <v>6.0E-4</v>
      </c>
      <c r="AA26" s="110">
        <v>3.3E-5</v>
      </c>
      <c r="AK26" s="10"/>
    </row>
    <row r="27" ht="15.75" customHeight="1">
      <c r="A27" s="101"/>
      <c r="B27" s="39" t="s">
        <v>41</v>
      </c>
      <c r="C27" s="39" t="s">
        <v>92</v>
      </c>
      <c r="D27" s="102">
        <v>76.15</v>
      </c>
      <c r="E27" s="58">
        <v>6.04</v>
      </c>
      <c r="F27" s="116">
        <v>1.89</v>
      </c>
      <c r="G27" s="87">
        <v>0.0</v>
      </c>
      <c r="H27" s="116">
        <v>52.49</v>
      </c>
      <c r="I27" s="116">
        <v>15.15</v>
      </c>
      <c r="J27" s="87">
        <v>0.0</v>
      </c>
      <c r="K27" s="87">
        <v>0.0</v>
      </c>
      <c r="L27" s="119">
        <v>0.0</v>
      </c>
      <c r="M27" s="97">
        <v>0.0</v>
      </c>
      <c r="N27" s="120">
        <v>0.0</v>
      </c>
      <c r="O27" s="87">
        <v>394.75</v>
      </c>
      <c r="P27" s="116">
        <v>0.47</v>
      </c>
      <c r="Q27" s="116">
        <v>0.54</v>
      </c>
      <c r="R27" s="87">
        <v>0.0</v>
      </c>
      <c r="S27" s="87">
        <v>0.0</v>
      </c>
      <c r="T27" s="119">
        <v>0.0</v>
      </c>
      <c r="U27" s="108">
        <v>0.72</v>
      </c>
      <c r="W27" s="108">
        <v>0.3</v>
      </c>
      <c r="X27" s="26">
        <v>65.4</v>
      </c>
      <c r="Y27" s="108"/>
      <c r="Z27" s="109"/>
      <c r="AA27" s="110"/>
      <c r="AD27" s="108">
        <v>0.48</v>
      </c>
      <c r="AK27" s="10"/>
    </row>
    <row r="28" ht="15.75" customHeight="1">
      <c r="A28" s="101"/>
      <c r="D28" s="102"/>
      <c r="E28" s="58"/>
      <c r="F28" s="58"/>
      <c r="G28" s="58"/>
      <c r="H28" s="58"/>
      <c r="I28" s="58"/>
      <c r="J28" s="58"/>
      <c r="K28" s="58"/>
      <c r="L28" s="103"/>
      <c r="M28" s="61"/>
      <c r="N28" s="102"/>
      <c r="O28" s="58"/>
      <c r="P28" s="58"/>
      <c r="Q28" s="58"/>
      <c r="R28" s="58"/>
      <c r="S28" s="58"/>
      <c r="T28" s="103"/>
      <c r="AK28" s="10"/>
    </row>
    <row r="29" ht="15.75" customHeight="1">
      <c r="B29" s="39" t="s">
        <v>87</v>
      </c>
      <c r="C29" s="39" t="s">
        <v>88</v>
      </c>
      <c r="D29" s="67">
        <v>5.0</v>
      </c>
      <c r="E29" s="65">
        <v>0.0</v>
      </c>
      <c r="F29" s="65">
        <v>0.0</v>
      </c>
      <c r="G29" s="65">
        <v>0.0</v>
      </c>
      <c r="H29" s="65">
        <v>0.0</v>
      </c>
      <c r="I29" s="65">
        <v>65.0</v>
      </c>
      <c r="J29" s="65">
        <v>0.0</v>
      </c>
      <c r="K29" s="111">
        <v>0.0</v>
      </c>
      <c r="L29" s="66">
        <v>0.0</v>
      </c>
      <c r="M29" s="61">
        <v>0.0</v>
      </c>
      <c r="N29" s="67">
        <v>0.0</v>
      </c>
      <c r="O29" s="65">
        <v>0.0</v>
      </c>
      <c r="P29" s="65">
        <v>0.0</v>
      </c>
      <c r="Q29" s="65">
        <v>0.0</v>
      </c>
      <c r="R29" s="65">
        <v>0.0</v>
      </c>
      <c r="S29" s="59">
        <v>0.0</v>
      </c>
      <c r="T29" s="60">
        <v>0.0</v>
      </c>
      <c r="AK29" s="10"/>
    </row>
    <row r="30" ht="15.75" customHeight="1">
      <c r="B30" s="39" t="s">
        <v>87</v>
      </c>
      <c r="C30" s="39" t="s">
        <v>89</v>
      </c>
      <c r="D30" s="67">
        <v>6.0</v>
      </c>
      <c r="E30" s="64">
        <v>3.0</v>
      </c>
      <c r="F30" s="64">
        <v>0.3</v>
      </c>
      <c r="G30" s="64">
        <v>0.0</v>
      </c>
      <c r="H30" s="64">
        <v>0.0</v>
      </c>
      <c r="I30" s="64">
        <v>65.0</v>
      </c>
      <c r="J30" s="64">
        <v>21.0</v>
      </c>
      <c r="K30" s="112">
        <v>2.0</v>
      </c>
      <c r="L30" s="113">
        <v>0.0</v>
      </c>
      <c r="M30" s="61">
        <v>0.0</v>
      </c>
      <c r="N30" s="114">
        <v>19.0</v>
      </c>
      <c r="O30" s="64">
        <v>1200.0</v>
      </c>
      <c r="P30" s="64">
        <v>200.0</v>
      </c>
      <c r="Q30" s="64">
        <v>9.5</v>
      </c>
      <c r="R30" s="64">
        <v>3.5</v>
      </c>
      <c r="S30" s="58">
        <v>0.0</v>
      </c>
      <c r="T30" s="103">
        <v>0.0</v>
      </c>
      <c r="X30" s="39">
        <v>750.0</v>
      </c>
      <c r="AK30" s="10" t="s">
        <v>60</v>
      </c>
    </row>
    <row r="31" ht="15.75" customHeight="1">
      <c r="B31" s="39" t="s">
        <v>87</v>
      </c>
      <c r="C31" s="39" t="s">
        <v>90</v>
      </c>
      <c r="D31" s="67">
        <v>9.0</v>
      </c>
      <c r="E31" s="64">
        <v>0.0</v>
      </c>
      <c r="F31" s="64">
        <v>0.2</v>
      </c>
      <c r="G31" s="64">
        <v>0.0</v>
      </c>
      <c r="H31" s="64">
        <v>0.0</v>
      </c>
      <c r="I31" s="64">
        <v>64.8</v>
      </c>
      <c r="J31" s="64">
        <v>5.0</v>
      </c>
      <c r="K31" s="112">
        <v>0.8</v>
      </c>
      <c r="L31" s="113">
        <v>0.0</v>
      </c>
      <c r="M31" s="61">
        <v>0.0</v>
      </c>
      <c r="N31" s="114">
        <v>19.0</v>
      </c>
      <c r="O31" s="64">
        <v>3.0</v>
      </c>
      <c r="P31" s="64">
        <v>446.0</v>
      </c>
      <c r="Q31" s="64">
        <v>11.0</v>
      </c>
      <c r="R31" s="64">
        <v>2.0</v>
      </c>
      <c r="S31" s="58">
        <v>0.0</v>
      </c>
      <c r="T31" s="103">
        <v>0.0</v>
      </c>
      <c r="X31" s="39">
        <v>720.0</v>
      </c>
      <c r="AJ31" s="39">
        <v>6.0</v>
      </c>
      <c r="AK31" s="10" t="s">
        <v>60</v>
      </c>
    </row>
    <row r="32" ht="15.75" customHeight="1">
      <c r="B32" s="39" t="s">
        <v>87</v>
      </c>
      <c r="C32" s="39" t="s">
        <v>91</v>
      </c>
      <c r="D32" s="115">
        <v>10.0</v>
      </c>
      <c r="E32" s="64">
        <v>0.9</v>
      </c>
      <c r="F32" s="64">
        <v>0.1</v>
      </c>
      <c r="G32" s="64">
        <v>0.0</v>
      </c>
      <c r="H32" s="64">
        <v>0.0</v>
      </c>
      <c r="I32" s="64">
        <v>61.4</v>
      </c>
      <c r="J32" s="64">
        <v>28.0</v>
      </c>
      <c r="K32" s="112">
        <v>0.0</v>
      </c>
      <c r="L32" s="113">
        <v>0.0</v>
      </c>
      <c r="M32" s="61">
        <v>0.0</v>
      </c>
      <c r="N32" s="114">
        <v>1.4</v>
      </c>
      <c r="O32" s="64">
        <v>550.0</v>
      </c>
      <c r="P32" s="64">
        <v>0.0</v>
      </c>
      <c r="Q32" s="64">
        <v>0.0</v>
      </c>
      <c r="R32" s="64">
        <v>0.0</v>
      </c>
      <c r="S32" s="58">
        <v>0.0</v>
      </c>
      <c r="T32" s="103">
        <v>0.0</v>
      </c>
      <c r="AK32" s="10" t="s">
        <v>60</v>
      </c>
    </row>
    <row r="33" ht="15.75" customHeight="1">
      <c r="B33" s="39" t="s">
        <v>87</v>
      </c>
      <c r="C33" s="39" t="s">
        <v>103</v>
      </c>
      <c r="D33" s="43">
        <v>0.0</v>
      </c>
      <c r="E33" s="122">
        <v>2.0</v>
      </c>
      <c r="F33" s="112">
        <v>0.8</v>
      </c>
      <c r="G33" s="112">
        <v>0.0</v>
      </c>
      <c r="H33" s="112">
        <v>0.0</v>
      </c>
      <c r="I33" s="112">
        <v>75.0</v>
      </c>
      <c r="J33" s="112">
        <v>2.0</v>
      </c>
      <c r="K33" s="112">
        <v>0.0</v>
      </c>
      <c r="L33" s="121">
        <v>0.0</v>
      </c>
      <c r="M33" s="43">
        <v>0.0</v>
      </c>
      <c r="N33" s="122">
        <v>0.0</v>
      </c>
      <c r="O33" s="112">
        <v>4750.0</v>
      </c>
      <c r="P33" s="112">
        <v>92.0</v>
      </c>
      <c r="Q33" s="112">
        <v>0.0</v>
      </c>
      <c r="R33" s="112">
        <v>0.0</v>
      </c>
      <c r="S33" s="112">
        <v>0.0</v>
      </c>
      <c r="T33" s="126">
        <v>0.0</v>
      </c>
      <c r="AK33" s="10"/>
    </row>
    <row r="34" ht="15.75" customHeight="1">
      <c r="B34" s="39" t="s">
        <v>87</v>
      </c>
      <c r="C34" s="39" t="s">
        <v>93</v>
      </c>
      <c r="D34" s="43">
        <v>4.0</v>
      </c>
      <c r="E34" s="43">
        <v>13.0</v>
      </c>
      <c r="F34" s="43">
        <v>4.6</v>
      </c>
      <c r="G34" s="43">
        <v>0.0</v>
      </c>
      <c r="H34" s="43">
        <v>0.0</v>
      </c>
      <c r="I34" s="43">
        <v>88.0</v>
      </c>
      <c r="J34" s="43">
        <v>0.0</v>
      </c>
      <c r="K34" s="43">
        <v>0.0</v>
      </c>
      <c r="L34" s="43">
        <v>0.0</v>
      </c>
      <c r="M34" s="43">
        <v>0.0</v>
      </c>
      <c r="N34" s="43">
        <v>0.0</v>
      </c>
      <c r="O34" s="43">
        <v>385.0</v>
      </c>
      <c r="P34" s="43">
        <v>0.0</v>
      </c>
      <c r="Q34" s="43">
        <v>0.0</v>
      </c>
      <c r="R34" s="43">
        <v>0.0</v>
      </c>
      <c r="S34" s="50">
        <v>0.0</v>
      </c>
      <c r="T34" s="117">
        <v>0.0</v>
      </c>
      <c r="U34" s="118"/>
      <c r="AG34" s="39">
        <v>100.0</v>
      </c>
      <c r="AK34" s="10"/>
    </row>
    <row r="35" ht="12.75" customHeight="1">
      <c r="B35" s="127" t="s">
        <v>87</v>
      </c>
      <c r="C35" s="39" t="s">
        <v>108</v>
      </c>
      <c r="D35" s="43">
        <v>0.0</v>
      </c>
      <c r="E35" s="43">
        <v>13.0</v>
      </c>
      <c r="F35" s="43">
        <v>0.0</v>
      </c>
      <c r="G35" s="43">
        <v>0.0</v>
      </c>
      <c r="H35" s="43">
        <v>0.0</v>
      </c>
      <c r="I35" s="43">
        <v>85.0</v>
      </c>
      <c r="J35" s="43">
        <v>0.0</v>
      </c>
      <c r="K35" s="43">
        <v>0.0</v>
      </c>
      <c r="L35" s="43">
        <v>0.0</v>
      </c>
      <c r="M35" s="43">
        <v>0.0</v>
      </c>
      <c r="N35" s="43">
        <v>0.0</v>
      </c>
      <c r="O35" s="43">
        <v>0.0</v>
      </c>
      <c r="P35" s="43">
        <v>0.0</v>
      </c>
      <c r="Q35" s="43">
        <v>0.0</v>
      </c>
      <c r="R35" s="43">
        <v>0.0</v>
      </c>
      <c r="S35" s="50">
        <v>0.0</v>
      </c>
      <c r="T35" s="50">
        <v>0.0</v>
      </c>
      <c r="AK35" s="10"/>
    </row>
    <row r="36" ht="15.75" customHeight="1">
      <c r="B36" s="39" t="s">
        <v>87</v>
      </c>
      <c r="C36" s="39" t="s">
        <v>94</v>
      </c>
      <c r="D36" s="112">
        <v>38.1</v>
      </c>
      <c r="E36" s="112">
        <v>0.0</v>
      </c>
      <c r="F36" s="112">
        <v>0.0</v>
      </c>
      <c r="G36" s="112">
        <v>0.0</v>
      </c>
      <c r="H36" s="112">
        <v>0.0</v>
      </c>
      <c r="I36" s="112">
        <v>13.7</v>
      </c>
      <c r="J36" s="112">
        <v>29.2</v>
      </c>
      <c r="K36" s="112">
        <v>0.0</v>
      </c>
      <c r="L36" s="121">
        <v>0.0</v>
      </c>
      <c r="M36" s="43">
        <v>0.0</v>
      </c>
      <c r="N36" s="122">
        <v>0.2</v>
      </c>
      <c r="O36" s="112">
        <v>7160.0</v>
      </c>
      <c r="P36" s="112">
        <v>29.0</v>
      </c>
      <c r="Q36" s="112">
        <v>0.8</v>
      </c>
      <c r="R36" s="112">
        <v>0.0</v>
      </c>
      <c r="S36" s="50">
        <v>0.0</v>
      </c>
      <c r="T36" s="50">
        <v>0.0</v>
      </c>
      <c r="U36" s="39">
        <v>19.0</v>
      </c>
      <c r="AK36" s="10" t="s">
        <v>60</v>
      </c>
    </row>
    <row r="37" ht="15.75" customHeight="1">
      <c r="B37" s="39" t="s">
        <v>87</v>
      </c>
      <c r="C37" s="39" t="s">
        <v>95</v>
      </c>
      <c r="D37" s="43">
        <v>10.0</v>
      </c>
      <c r="E37" s="43">
        <v>4.2</v>
      </c>
      <c r="F37" s="43">
        <v>0.9</v>
      </c>
      <c r="G37" s="43">
        <v>0.0</v>
      </c>
      <c r="H37" s="43">
        <v>0.0</v>
      </c>
      <c r="I37" s="43">
        <v>62.6</v>
      </c>
      <c r="J37" s="43">
        <v>23.3</v>
      </c>
      <c r="K37" s="43">
        <v>1.5</v>
      </c>
      <c r="L37" s="43">
        <v>0.0</v>
      </c>
      <c r="M37" s="43">
        <v>0.0</v>
      </c>
      <c r="N37" s="43">
        <v>1.4</v>
      </c>
      <c r="O37" s="43">
        <v>300.0</v>
      </c>
      <c r="P37" s="43">
        <v>0.0</v>
      </c>
      <c r="Q37" s="43">
        <v>0.0</v>
      </c>
      <c r="R37" s="43">
        <v>0.0</v>
      </c>
      <c r="S37" s="50">
        <v>0.0</v>
      </c>
      <c r="T37" s="123">
        <v>0.0</v>
      </c>
      <c r="U37" s="118">
        <v>0.6</v>
      </c>
      <c r="AK37" s="10" t="s">
        <v>96</v>
      </c>
    </row>
    <row r="38" ht="15.75" customHeight="1">
      <c r="B38" s="39" t="s">
        <v>87</v>
      </c>
      <c r="C38" s="39" t="s">
        <v>97</v>
      </c>
      <c r="D38" s="43">
        <v>5.0</v>
      </c>
      <c r="E38" s="43">
        <v>0.0</v>
      </c>
      <c r="F38" s="43">
        <v>0.85</v>
      </c>
      <c r="G38" s="43">
        <v>0.0</v>
      </c>
      <c r="H38" s="43">
        <v>0.0</v>
      </c>
      <c r="I38" s="43">
        <v>83.065</v>
      </c>
      <c r="J38" s="43">
        <v>0.25</v>
      </c>
      <c r="K38" s="43">
        <v>0.25</v>
      </c>
      <c r="L38" s="43">
        <v>0.25</v>
      </c>
      <c r="M38" s="43">
        <v>0.0</v>
      </c>
      <c r="N38" s="43">
        <v>0.0</v>
      </c>
      <c r="O38" s="43">
        <v>2800.0</v>
      </c>
      <c r="P38" s="43">
        <v>0.0</v>
      </c>
      <c r="Q38" s="43">
        <v>0.0</v>
      </c>
      <c r="R38" s="43">
        <v>0.0</v>
      </c>
      <c r="S38" s="50">
        <v>0.0</v>
      </c>
      <c r="T38" s="123">
        <v>0.0</v>
      </c>
      <c r="Y38" s="39">
        <v>0.18</v>
      </c>
      <c r="AF38" s="39">
        <v>91.5</v>
      </c>
      <c r="AG38" s="39">
        <v>2.0</v>
      </c>
      <c r="AK38" s="10" t="s">
        <v>60</v>
      </c>
    </row>
    <row r="39" ht="15.75" customHeight="1">
      <c r="B39" s="39" t="s">
        <v>87</v>
      </c>
      <c r="C39" s="39" t="s">
        <v>98</v>
      </c>
      <c r="D39" s="98">
        <v>72.71300128442985</v>
      </c>
      <c r="E39" s="98">
        <v>0.24261452832881406</v>
      </c>
      <c r="F39" s="99">
        <v>0.0</v>
      </c>
      <c r="G39" s="99">
        <v>0.0</v>
      </c>
      <c r="H39" s="99">
        <v>0.0</v>
      </c>
      <c r="I39" s="98">
        <v>23.710576138147566</v>
      </c>
      <c r="J39" s="98">
        <v>0.07136220921935207</v>
      </c>
      <c r="K39" s="98">
        <v>0.07135721421435708</v>
      </c>
      <c r="L39" s="98">
        <v>0.07135721421435708</v>
      </c>
      <c r="M39" s="99">
        <v>0.0</v>
      </c>
      <c r="N39" s="99">
        <v>0.0</v>
      </c>
      <c r="O39" s="98">
        <v>840.3557870700728</v>
      </c>
      <c r="P39" s="98">
        <v>2.140716426430712</v>
      </c>
      <c r="Q39" s="99">
        <v>0.0</v>
      </c>
      <c r="R39" s="99">
        <v>0.0</v>
      </c>
      <c r="S39" s="124">
        <v>0.0</v>
      </c>
      <c r="T39" s="125">
        <v>0.0</v>
      </c>
      <c r="U39" s="118">
        <v>0.09</v>
      </c>
      <c r="V39" s="118">
        <v>0.01</v>
      </c>
      <c r="Y39" s="39">
        <v>0.051</v>
      </c>
      <c r="AF39" s="39">
        <v>26.11</v>
      </c>
      <c r="AG39" s="39">
        <v>0.57</v>
      </c>
      <c r="AK39" s="10"/>
    </row>
    <row r="40" ht="15.75" customHeight="1">
      <c r="B40" s="39" t="s">
        <v>87</v>
      </c>
      <c r="C40" s="39" t="s">
        <v>99</v>
      </c>
      <c r="D40" s="98">
        <v>10.0</v>
      </c>
      <c r="E40" s="98">
        <v>4.1</v>
      </c>
      <c r="F40" s="53">
        <v>0.8</v>
      </c>
      <c r="G40" s="99">
        <v>0.0</v>
      </c>
      <c r="H40" s="99">
        <v>0.0</v>
      </c>
      <c r="I40" s="98">
        <v>59.0</v>
      </c>
      <c r="J40" s="98">
        <v>24.2</v>
      </c>
      <c r="K40" s="98">
        <v>1.8</v>
      </c>
      <c r="L40" s="98">
        <v>0.0</v>
      </c>
      <c r="M40" s="99">
        <v>0.0</v>
      </c>
      <c r="N40" s="99">
        <v>1.3</v>
      </c>
      <c r="O40" s="98">
        <v>300.0</v>
      </c>
      <c r="P40" s="98">
        <v>0.0</v>
      </c>
      <c r="Q40" s="99">
        <v>0.0</v>
      </c>
      <c r="R40" s="99">
        <v>0.0</v>
      </c>
      <c r="S40" s="124">
        <v>0.0</v>
      </c>
      <c r="T40" s="125">
        <v>0.0</v>
      </c>
      <c r="U40" s="118">
        <v>0.9</v>
      </c>
      <c r="V40" s="118"/>
      <c r="AK40" s="10"/>
    </row>
    <row r="41" ht="15.75" customHeight="1">
      <c r="B41" s="39" t="s">
        <v>87</v>
      </c>
      <c r="C41" s="39" t="s">
        <v>100</v>
      </c>
      <c r="D41" s="98">
        <v>6.5</v>
      </c>
      <c r="E41" s="98">
        <v>1.0</v>
      </c>
      <c r="F41" s="53">
        <v>0.0</v>
      </c>
      <c r="G41" s="99">
        <v>0.0</v>
      </c>
      <c r="H41" s="99">
        <v>0.0</v>
      </c>
      <c r="I41" s="98">
        <v>90.0</v>
      </c>
      <c r="J41" s="98">
        <v>0.0</v>
      </c>
      <c r="K41" s="98">
        <v>0.0</v>
      </c>
      <c r="L41" s="98">
        <v>0.0</v>
      </c>
      <c r="M41" s="99">
        <v>0.0</v>
      </c>
      <c r="N41" s="99">
        <v>0.0</v>
      </c>
      <c r="O41" s="98">
        <v>0.0</v>
      </c>
      <c r="P41" s="98">
        <v>0.0</v>
      </c>
      <c r="Q41" s="99">
        <v>0.0</v>
      </c>
      <c r="R41" s="99">
        <v>0.0</v>
      </c>
      <c r="S41" s="124">
        <v>0.0</v>
      </c>
      <c r="T41" s="125">
        <v>0.0</v>
      </c>
      <c r="U41" s="118"/>
      <c r="V41" s="118"/>
      <c r="AK41" s="10"/>
    </row>
    <row r="42" ht="15.75" customHeight="1">
      <c r="B42" s="39" t="s">
        <v>87</v>
      </c>
      <c r="C42" s="39" t="s">
        <v>101</v>
      </c>
      <c r="D42" s="98">
        <v>5.0</v>
      </c>
      <c r="E42" s="98">
        <v>10.0</v>
      </c>
      <c r="F42" s="53">
        <v>4.2</v>
      </c>
      <c r="G42" s="99">
        <v>0.0</v>
      </c>
      <c r="H42" s="99">
        <v>0.0</v>
      </c>
      <c r="I42" s="98">
        <v>87.0</v>
      </c>
      <c r="J42" s="98">
        <v>0.0</v>
      </c>
      <c r="K42" s="98">
        <v>0.0</v>
      </c>
      <c r="L42" s="98">
        <v>0.0</v>
      </c>
      <c r="M42" s="99">
        <v>0.0</v>
      </c>
      <c r="N42" s="99">
        <v>0.0</v>
      </c>
      <c r="O42" s="98">
        <v>1.8</v>
      </c>
      <c r="P42" s="98">
        <v>0.0</v>
      </c>
      <c r="Q42" s="99">
        <v>0.0</v>
      </c>
      <c r="R42" s="99">
        <v>0.0</v>
      </c>
      <c r="S42" s="124">
        <v>0.0</v>
      </c>
      <c r="T42" s="125">
        <v>0.0</v>
      </c>
      <c r="U42" s="118"/>
      <c r="V42" s="118"/>
      <c r="AK42" s="10"/>
    </row>
    <row r="43" ht="15.75" customHeight="1">
      <c r="B43" s="130" t="s">
        <v>87</v>
      </c>
      <c r="C43" s="39" t="s">
        <v>114</v>
      </c>
      <c r="D43" s="98">
        <v>9.0</v>
      </c>
      <c r="E43" s="98">
        <v>2.0</v>
      </c>
      <c r="F43" s="53">
        <v>0.5</v>
      </c>
      <c r="G43" s="99">
        <v>0.0</v>
      </c>
      <c r="H43" s="99">
        <v>0.0</v>
      </c>
      <c r="I43" s="98">
        <v>70.0</v>
      </c>
      <c r="J43" s="98">
        <v>0.0</v>
      </c>
      <c r="K43" s="98">
        <v>0.0</v>
      </c>
      <c r="L43" s="98">
        <v>0.0</v>
      </c>
      <c r="M43" s="99">
        <v>0.0</v>
      </c>
      <c r="N43" s="99">
        <v>0.0</v>
      </c>
      <c r="O43" s="98">
        <v>15.0</v>
      </c>
      <c r="P43" s="98">
        <v>0.0</v>
      </c>
      <c r="Q43" s="99">
        <v>0.0</v>
      </c>
      <c r="R43" s="99">
        <v>0.0</v>
      </c>
      <c r="S43" s="124">
        <v>0.0</v>
      </c>
      <c r="T43" s="125">
        <v>0.0</v>
      </c>
      <c r="U43" s="118"/>
      <c r="V43" s="118"/>
      <c r="AK43" s="10"/>
    </row>
    <row r="44" ht="15.75" customHeight="1">
      <c r="D44" s="43"/>
      <c r="E44" s="43"/>
      <c r="F44" s="43"/>
      <c r="G44" s="43"/>
      <c r="H44" s="43"/>
      <c r="I44" s="43"/>
      <c r="J44" s="43"/>
      <c r="K44" s="43"/>
      <c r="L44" s="43"/>
      <c r="M44" s="43"/>
      <c r="N44" s="43"/>
      <c r="O44" s="43"/>
      <c r="P44" s="43"/>
      <c r="Q44" s="43"/>
      <c r="R44" s="43"/>
      <c r="S44" s="50"/>
      <c r="T44" s="123"/>
      <c r="AK44" s="10"/>
    </row>
    <row r="45" ht="15.75" customHeight="1">
      <c r="A45" s="57" t="s">
        <v>104</v>
      </c>
      <c r="B45" s="39" t="s">
        <v>105</v>
      </c>
      <c r="C45" s="39" t="s">
        <v>105</v>
      </c>
      <c r="D45" s="102">
        <v>99.9</v>
      </c>
      <c r="E45" s="64">
        <v>0.0</v>
      </c>
      <c r="F45" s="64">
        <v>0.0</v>
      </c>
      <c r="G45" s="64">
        <v>0.0</v>
      </c>
      <c r="H45" s="64">
        <v>0.0</v>
      </c>
      <c r="I45" s="64">
        <v>0.0</v>
      </c>
      <c r="J45" s="64">
        <v>0.0</v>
      </c>
      <c r="K45" s="64">
        <v>0.0</v>
      </c>
      <c r="L45" s="113">
        <v>0.0</v>
      </c>
      <c r="M45" s="61">
        <v>0.0</v>
      </c>
      <c r="N45" s="114">
        <v>0.0</v>
      </c>
      <c r="O45" s="64">
        <v>4.0</v>
      </c>
      <c r="P45" s="64">
        <v>3.0</v>
      </c>
      <c r="Q45" s="64">
        <v>0.0</v>
      </c>
      <c r="R45" s="64">
        <v>0.0</v>
      </c>
      <c r="S45" s="58">
        <v>0.0</v>
      </c>
      <c r="T45" s="103">
        <v>0.0</v>
      </c>
      <c r="AK45" s="10"/>
    </row>
    <row r="46" ht="15.75" customHeight="1">
      <c r="A46" s="39" t="s">
        <v>49</v>
      </c>
      <c r="B46" s="39" t="s">
        <v>106</v>
      </c>
      <c r="C46" s="39" t="s">
        <v>107</v>
      </c>
      <c r="D46" s="64">
        <v>0.2</v>
      </c>
      <c r="E46" s="64">
        <v>0.0</v>
      </c>
      <c r="F46" s="64">
        <v>0.0</v>
      </c>
      <c r="G46" s="64">
        <v>0.0</v>
      </c>
      <c r="H46" s="64">
        <v>0.0</v>
      </c>
      <c r="I46" s="64">
        <v>0.0</v>
      </c>
      <c r="J46" s="64">
        <v>0.0</v>
      </c>
      <c r="K46" s="112">
        <v>0.0</v>
      </c>
      <c r="L46" s="113">
        <v>0.0</v>
      </c>
      <c r="M46" s="61">
        <v>0.0</v>
      </c>
      <c r="N46" s="114">
        <v>0.0</v>
      </c>
      <c r="O46" s="64">
        <v>38781.0</v>
      </c>
      <c r="P46" s="64">
        <v>24.0</v>
      </c>
      <c r="Q46" s="64">
        <v>0.3</v>
      </c>
      <c r="R46" s="64">
        <v>0.1</v>
      </c>
      <c r="S46" s="58">
        <v>0.0</v>
      </c>
      <c r="T46" s="58">
        <v>0.0</v>
      </c>
      <c r="U46" s="128">
        <v>100.0</v>
      </c>
      <c r="AK46" s="10"/>
    </row>
    <row r="47" ht="15.75" customHeight="1">
      <c r="A47" s="39" t="s">
        <v>49</v>
      </c>
      <c r="B47" s="39" t="s">
        <v>106</v>
      </c>
      <c r="C47" s="39" t="s">
        <v>109</v>
      </c>
      <c r="D47" s="64">
        <v>0.0</v>
      </c>
      <c r="E47" s="64">
        <v>0.0</v>
      </c>
      <c r="F47" s="64">
        <v>0.0</v>
      </c>
      <c r="G47" s="64">
        <v>0.0</v>
      </c>
      <c r="H47" s="64">
        <v>0.0</v>
      </c>
      <c r="I47" s="64">
        <v>0.0</v>
      </c>
      <c r="J47" s="64">
        <v>0.0</v>
      </c>
      <c r="K47" s="112">
        <v>0.0</v>
      </c>
      <c r="L47" s="113">
        <v>0.0</v>
      </c>
      <c r="M47" s="61">
        <v>0.0</v>
      </c>
      <c r="N47" s="114">
        <v>0.0</v>
      </c>
      <c r="O47" s="64">
        <v>23268.0</v>
      </c>
      <c r="P47" s="64">
        <v>0.0</v>
      </c>
      <c r="Q47" s="64">
        <v>0.0</v>
      </c>
      <c r="R47" s="64">
        <v>0.0</v>
      </c>
      <c r="S47" s="58">
        <v>0.0</v>
      </c>
      <c r="T47" s="58">
        <v>0.0</v>
      </c>
      <c r="U47" s="129">
        <v>60.0</v>
      </c>
      <c r="AD47" s="39">
        <v>40.0</v>
      </c>
      <c r="AK47" s="10"/>
    </row>
    <row r="48" ht="15.75" customHeight="1">
      <c r="B48" s="39" t="s">
        <v>106</v>
      </c>
      <c r="C48" s="39" t="s">
        <v>110</v>
      </c>
      <c r="D48" s="64">
        <v>0.0</v>
      </c>
      <c r="E48" s="64">
        <v>0.0</v>
      </c>
      <c r="F48" s="64">
        <v>0.0</v>
      </c>
      <c r="G48" s="64">
        <v>0.0</v>
      </c>
      <c r="H48" s="64">
        <v>0.0</v>
      </c>
      <c r="I48" s="64">
        <v>0.0</v>
      </c>
      <c r="J48" s="64">
        <v>0.0</v>
      </c>
      <c r="K48" s="112">
        <v>0.0</v>
      </c>
      <c r="L48" s="113">
        <v>0.0</v>
      </c>
      <c r="M48" s="61">
        <v>0.0</v>
      </c>
      <c r="N48" s="114">
        <v>0.0</v>
      </c>
      <c r="O48" s="81">
        <v>19350.0</v>
      </c>
      <c r="P48" s="64">
        <v>0.0</v>
      </c>
      <c r="Q48" s="64">
        <v>0.0</v>
      </c>
      <c r="R48" s="64">
        <v>0.0</v>
      </c>
      <c r="S48" s="58">
        <v>0.0</v>
      </c>
      <c r="T48" s="58">
        <v>0.0</v>
      </c>
      <c r="U48" s="129">
        <v>50.0</v>
      </c>
      <c r="AD48" s="129">
        <v>50.0</v>
      </c>
      <c r="AE48" s="129"/>
      <c r="AF48" s="129"/>
      <c r="AG48" s="129"/>
      <c r="AH48" s="129"/>
      <c r="AI48" s="129"/>
      <c r="AK48" s="10"/>
    </row>
    <row r="49" ht="15.75" customHeight="1">
      <c r="B49" s="39" t="s">
        <v>106</v>
      </c>
      <c r="C49" s="39" t="s">
        <v>111</v>
      </c>
      <c r="D49" s="64">
        <f>100-J49</f>
        <v>0.5</v>
      </c>
      <c r="E49" s="64">
        <v>0.0</v>
      </c>
      <c r="F49" s="64">
        <v>0.0</v>
      </c>
      <c r="G49" s="64">
        <v>0.0</v>
      </c>
      <c r="H49" s="64">
        <v>0.0</v>
      </c>
      <c r="I49" s="64">
        <v>0.002</v>
      </c>
      <c r="J49" s="64">
        <v>99.5</v>
      </c>
      <c r="K49" s="112">
        <v>99.5</v>
      </c>
      <c r="L49" s="113">
        <v>99.5</v>
      </c>
      <c r="M49" s="61">
        <v>0.0</v>
      </c>
      <c r="N49" s="114">
        <v>0.0</v>
      </c>
      <c r="O49" s="64">
        <v>0.0</v>
      </c>
      <c r="P49" s="64">
        <v>0.0</v>
      </c>
      <c r="Q49" s="64">
        <v>0.005</v>
      </c>
      <c r="R49" s="64">
        <v>0.0</v>
      </c>
      <c r="S49" s="58">
        <v>0.0</v>
      </c>
      <c r="T49" s="58">
        <v>0.0</v>
      </c>
      <c r="AK49" s="10"/>
    </row>
    <row r="50" ht="15.75" customHeight="1">
      <c r="B50" s="39" t="s">
        <v>106</v>
      </c>
      <c r="C50" s="39" t="s">
        <v>112</v>
      </c>
      <c r="D50" s="114">
        <v>0.0</v>
      </c>
      <c r="E50" s="64">
        <v>0.0</v>
      </c>
      <c r="F50" s="64">
        <v>0.0</v>
      </c>
      <c r="G50" s="64">
        <v>0.0</v>
      </c>
      <c r="H50" s="64">
        <v>0.0</v>
      </c>
      <c r="I50" s="64">
        <v>0.0</v>
      </c>
      <c r="J50" s="64">
        <v>0.0</v>
      </c>
      <c r="K50" s="112">
        <v>0.0</v>
      </c>
      <c r="L50" s="113">
        <v>0.0</v>
      </c>
      <c r="M50" s="61">
        <v>0.0</v>
      </c>
      <c r="N50" s="114">
        <v>0.0</v>
      </c>
      <c r="O50" s="64">
        <f>10680</f>
        <v>10680</v>
      </c>
      <c r="P50" s="64">
        <v>0.0</v>
      </c>
      <c r="Q50" s="64">
        <v>0.0</v>
      </c>
      <c r="R50" s="64">
        <v>0.0</v>
      </c>
      <c r="S50" s="58">
        <v>0.0</v>
      </c>
      <c r="T50" s="103">
        <v>0.0</v>
      </c>
      <c r="Y50" s="39">
        <v>98.0</v>
      </c>
      <c r="AK50" s="10"/>
    </row>
    <row r="51" ht="15.75" customHeight="1">
      <c r="B51" s="39" t="s">
        <v>106</v>
      </c>
      <c r="C51" s="39" t="s">
        <v>113</v>
      </c>
      <c r="D51" s="114">
        <v>0.0</v>
      </c>
      <c r="E51" s="64">
        <v>0.1</v>
      </c>
      <c r="F51" s="64">
        <v>0.0</v>
      </c>
      <c r="G51" s="64">
        <v>0.0</v>
      </c>
      <c r="H51" s="64">
        <v>0.0</v>
      </c>
      <c r="I51" s="64">
        <v>0.4</v>
      </c>
      <c r="J51" s="64">
        <v>48.0</v>
      </c>
      <c r="K51" s="64">
        <v>0.0</v>
      </c>
      <c r="L51" s="113">
        <v>0.0</v>
      </c>
      <c r="M51" s="61">
        <v>0.0</v>
      </c>
      <c r="N51" s="114">
        <v>7.0</v>
      </c>
      <c r="O51" s="64">
        <v>3019.0</v>
      </c>
      <c r="P51" s="64">
        <v>0.0</v>
      </c>
      <c r="Q51" s="64">
        <v>0.0</v>
      </c>
      <c r="R51" s="64">
        <v>0.0</v>
      </c>
      <c r="S51" s="58">
        <v>0.0</v>
      </c>
      <c r="T51" s="103">
        <v>0.0</v>
      </c>
      <c r="AK51" s="10"/>
    </row>
    <row r="52" ht="15.75" customHeight="1">
      <c r="B52" s="39" t="s">
        <v>106</v>
      </c>
      <c r="C52" s="39" t="s">
        <v>115</v>
      </c>
      <c r="D52" s="114">
        <v>0.0</v>
      </c>
      <c r="E52" s="64">
        <v>0.1</v>
      </c>
      <c r="F52" s="64">
        <v>0.0</v>
      </c>
      <c r="G52" s="64">
        <v>0.0</v>
      </c>
      <c r="H52" s="64">
        <v>0.0</v>
      </c>
      <c r="I52" s="64">
        <v>0.1</v>
      </c>
      <c r="J52" s="64">
        <v>80.0</v>
      </c>
      <c r="K52" s="112">
        <v>0.0</v>
      </c>
      <c r="L52" s="113">
        <v>0.0</v>
      </c>
      <c r="M52" s="61">
        <v>80.0</v>
      </c>
      <c r="N52" s="114">
        <v>0.0</v>
      </c>
      <c r="O52" s="64">
        <v>15.87</v>
      </c>
      <c r="P52" s="64">
        <v>0.0</v>
      </c>
      <c r="Q52" s="64">
        <v>0.0</v>
      </c>
      <c r="R52" s="64">
        <v>0.0</v>
      </c>
      <c r="S52" s="58">
        <v>0.0</v>
      </c>
      <c r="T52" s="103">
        <v>0.0</v>
      </c>
      <c r="U52" s="131">
        <v>0.0404</v>
      </c>
      <c r="AK52" s="10"/>
    </row>
    <row r="53" ht="15.75" customHeight="1">
      <c r="B53" s="39" t="s">
        <v>106</v>
      </c>
      <c r="C53" s="39" t="s">
        <v>116</v>
      </c>
      <c r="D53" s="64">
        <v>13.0</v>
      </c>
      <c r="E53" s="64">
        <v>0.0</v>
      </c>
      <c r="F53" s="64">
        <v>0.0</v>
      </c>
      <c r="G53" s="64">
        <v>0.0</v>
      </c>
      <c r="H53" s="64">
        <v>0.0</v>
      </c>
      <c r="I53" s="64">
        <v>0.0</v>
      </c>
      <c r="J53" s="64">
        <v>85.0</v>
      </c>
      <c r="K53" s="112">
        <v>0.0</v>
      </c>
      <c r="L53" s="113">
        <v>0.0</v>
      </c>
      <c r="M53" s="61">
        <v>85.0</v>
      </c>
      <c r="N53" s="114">
        <v>0.0</v>
      </c>
      <c r="O53" s="64">
        <v>0.0</v>
      </c>
      <c r="P53" s="64">
        <v>0.0</v>
      </c>
      <c r="Q53" s="64">
        <v>0.0</v>
      </c>
      <c r="R53" s="64">
        <v>0.0</v>
      </c>
      <c r="S53" s="58">
        <v>0.0</v>
      </c>
      <c r="T53" s="58">
        <v>0.0</v>
      </c>
      <c r="AK53" s="10"/>
    </row>
    <row r="54" ht="15.75" customHeight="1">
      <c r="B54" s="39" t="s">
        <v>106</v>
      </c>
      <c r="C54" s="39" t="s">
        <v>117</v>
      </c>
      <c r="D54" s="64">
        <v>0.0</v>
      </c>
      <c r="E54" s="64">
        <v>0.0</v>
      </c>
      <c r="F54" s="64">
        <v>0.0</v>
      </c>
      <c r="G54" s="64">
        <v>0.0</v>
      </c>
      <c r="H54" s="64">
        <v>0.0</v>
      </c>
      <c r="I54" s="64">
        <v>10.5</v>
      </c>
      <c r="J54" s="64">
        <v>93.0</v>
      </c>
      <c r="K54" s="112">
        <v>0.0</v>
      </c>
      <c r="L54" s="113">
        <v>0.0</v>
      </c>
      <c r="M54" s="61">
        <v>12.0</v>
      </c>
      <c r="N54" s="114">
        <v>58.0</v>
      </c>
      <c r="O54" s="64">
        <v>0.0</v>
      </c>
      <c r="P54" s="64">
        <v>0.0</v>
      </c>
      <c r="Q54" s="64">
        <v>0.0</v>
      </c>
      <c r="R54" s="64">
        <v>0.0</v>
      </c>
      <c r="S54" s="58">
        <v>0.0</v>
      </c>
      <c r="T54" s="58">
        <v>0.0</v>
      </c>
      <c r="AC54" s="39">
        <v>100.0</v>
      </c>
      <c r="AK54" s="10"/>
    </row>
    <row r="55" ht="15.75" customHeight="1">
      <c r="B55" s="39" t="s">
        <v>106</v>
      </c>
      <c r="C55" s="39" t="s">
        <v>118</v>
      </c>
      <c r="D55" s="64">
        <v>7.0</v>
      </c>
      <c r="E55" s="64">
        <v>0.02</v>
      </c>
      <c r="F55" s="64">
        <v>0.02</v>
      </c>
      <c r="G55" s="64">
        <v>0.0</v>
      </c>
      <c r="H55" s="64">
        <v>0.0</v>
      </c>
      <c r="I55" s="64">
        <v>35.0</v>
      </c>
      <c r="J55" s="64">
        <v>9.19</v>
      </c>
      <c r="K55" s="112">
        <v>9.19</v>
      </c>
      <c r="L55" s="113">
        <v>9.19</v>
      </c>
      <c r="M55" s="61">
        <v>0.0</v>
      </c>
      <c r="N55" s="114">
        <v>0.0</v>
      </c>
      <c r="O55" s="64">
        <v>13000.0</v>
      </c>
      <c r="P55" s="64">
        <v>0.0</v>
      </c>
      <c r="Q55" s="64">
        <v>0.0</v>
      </c>
      <c r="R55" s="64">
        <v>0.0</v>
      </c>
      <c r="S55" s="58">
        <v>0.0</v>
      </c>
      <c r="T55" s="58">
        <v>0.0</v>
      </c>
      <c r="U55" s="128">
        <v>33.0</v>
      </c>
      <c r="AK55" s="10"/>
    </row>
    <row r="56" ht="15.75" customHeight="1">
      <c r="B56" s="39" t="s">
        <v>106</v>
      </c>
      <c r="C56" s="39" t="s">
        <v>119</v>
      </c>
      <c r="D56" s="43">
        <v>0.0</v>
      </c>
      <c r="E56" s="43">
        <v>0.4</v>
      </c>
      <c r="F56" s="43">
        <v>0.0</v>
      </c>
      <c r="G56" s="43">
        <v>0.0</v>
      </c>
      <c r="H56" s="43">
        <v>0.0</v>
      </c>
      <c r="I56" s="43">
        <v>0.0</v>
      </c>
      <c r="J56" s="43">
        <v>0.0</v>
      </c>
      <c r="K56" s="43">
        <v>0.0</v>
      </c>
      <c r="L56" s="43">
        <v>0.0</v>
      </c>
      <c r="M56" s="43">
        <v>0.0</v>
      </c>
      <c r="N56" s="43">
        <v>0.0</v>
      </c>
      <c r="O56" s="43">
        <v>23150.0</v>
      </c>
      <c r="P56" s="43">
        <v>0.0</v>
      </c>
      <c r="Q56" s="43">
        <v>0.0</v>
      </c>
      <c r="R56" s="43">
        <v>0.0</v>
      </c>
      <c r="S56" s="50">
        <v>0.0</v>
      </c>
      <c r="T56" s="123">
        <v>0.0</v>
      </c>
      <c r="AK56" s="10"/>
    </row>
    <row r="57" ht="15.75" customHeight="1">
      <c r="B57" s="39" t="s">
        <v>106</v>
      </c>
      <c r="C57" s="39" t="s">
        <v>120</v>
      </c>
      <c r="D57" s="43">
        <v>0.0</v>
      </c>
      <c r="E57" s="43">
        <v>0.0</v>
      </c>
      <c r="F57" s="43">
        <v>0.0</v>
      </c>
      <c r="G57" s="43">
        <v>0.0</v>
      </c>
      <c r="H57" s="43">
        <v>0.0</v>
      </c>
      <c r="I57" s="43">
        <v>0.0</v>
      </c>
      <c r="J57" s="43">
        <v>56.9</v>
      </c>
      <c r="K57" s="43">
        <v>56.9</v>
      </c>
      <c r="L57" s="43">
        <v>56.9</v>
      </c>
      <c r="M57" s="43">
        <v>0.0</v>
      </c>
      <c r="N57" s="43">
        <v>0.0</v>
      </c>
      <c r="O57" s="43">
        <v>400.0</v>
      </c>
      <c r="P57" s="43">
        <v>0.0</v>
      </c>
      <c r="Q57" s="43">
        <v>0.0</v>
      </c>
      <c r="R57" s="43">
        <v>0.0</v>
      </c>
      <c r="S57" s="50">
        <v>0.0</v>
      </c>
      <c r="T57" s="123">
        <v>0.0</v>
      </c>
      <c r="U57" s="129"/>
      <c r="V57" s="129"/>
      <c r="AK57" s="10"/>
    </row>
    <row r="58" ht="15.75" customHeight="1">
      <c r="A58" s="39" t="s">
        <v>49</v>
      </c>
      <c r="B58" s="39" t="s">
        <v>106</v>
      </c>
      <c r="C58" s="39" t="s">
        <v>121</v>
      </c>
      <c r="D58" s="43">
        <v>0.5</v>
      </c>
      <c r="E58" s="43">
        <v>0.0</v>
      </c>
      <c r="F58" s="43">
        <v>0.0</v>
      </c>
      <c r="G58" s="43">
        <v>0.0</v>
      </c>
      <c r="H58" s="43">
        <v>0.0</v>
      </c>
      <c r="I58" s="43">
        <v>0.0</v>
      </c>
      <c r="J58" s="43">
        <v>99.3</v>
      </c>
      <c r="K58" s="43">
        <v>99.3</v>
      </c>
      <c r="L58" s="43">
        <v>99.3</v>
      </c>
      <c r="M58" s="43">
        <v>0.0</v>
      </c>
      <c r="N58" s="43">
        <v>0.0</v>
      </c>
      <c r="O58" s="43">
        <v>0.0</v>
      </c>
      <c r="P58" s="43">
        <v>0.0</v>
      </c>
      <c r="Q58" s="43">
        <v>0.1</v>
      </c>
      <c r="R58" s="43">
        <v>0.0</v>
      </c>
      <c r="S58" s="50">
        <v>0.0</v>
      </c>
      <c r="T58" s="123">
        <v>0.0</v>
      </c>
      <c r="U58" s="129"/>
      <c r="V58" s="129"/>
      <c r="AK58" s="10"/>
    </row>
    <row r="59" ht="15.75" customHeight="1">
      <c r="B59" s="39" t="s">
        <v>106</v>
      </c>
      <c r="C59" s="39" t="s">
        <v>122</v>
      </c>
      <c r="D59" s="43">
        <v>14.0</v>
      </c>
      <c r="E59" s="43">
        <v>0.0</v>
      </c>
      <c r="F59" s="43">
        <v>0.0</v>
      </c>
      <c r="G59" s="43">
        <v>0.0</v>
      </c>
      <c r="H59" s="43">
        <v>0.0</v>
      </c>
      <c r="I59" s="43">
        <v>0.0</v>
      </c>
      <c r="J59" s="43">
        <v>88.0</v>
      </c>
      <c r="K59" s="43">
        <v>0.0</v>
      </c>
      <c r="L59" s="43">
        <v>0.0</v>
      </c>
      <c r="M59" s="43">
        <v>88.0</v>
      </c>
      <c r="N59" s="43">
        <v>0.0</v>
      </c>
      <c r="O59" s="43">
        <v>80.0</v>
      </c>
      <c r="P59" s="43">
        <v>1.5</v>
      </c>
      <c r="Q59" s="43">
        <v>0.1</v>
      </c>
      <c r="R59" s="43">
        <v>0.1</v>
      </c>
      <c r="S59" s="50">
        <v>0.0</v>
      </c>
      <c r="T59" s="123">
        <v>0.0</v>
      </c>
      <c r="U59" s="129"/>
      <c r="V59" s="129"/>
      <c r="AK59" s="10"/>
    </row>
    <row r="60" ht="15.75" customHeight="1">
      <c r="B60" s="39" t="s">
        <v>106</v>
      </c>
      <c r="C60" s="39" t="s">
        <v>123</v>
      </c>
      <c r="D60" s="43">
        <v>8.0</v>
      </c>
      <c r="E60" s="43">
        <v>3.7</v>
      </c>
      <c r="F60" s="43">
        <v>1.3</v>
      </c>
      <c r="G60" s="43">
        <v>0.0</v>
      </c>
      <c r="H60" s="43">
        <v>0.0</v>
      </c>
      <c r="I60" s="43">
        <v>13.0</v>
      </c>
      <c r="J60" s="43">
        <v>75.0</v>
      </c>
      <c r="K60" s="43">
        <v>3.5</v>
      </c>
      <c r="L60" s="43">
        <v>0.0</v>
      </c>
      <c r="M60" s="43">
        <v>0.0</v>
      </c>
      <c r="N60" s="43">
        <v>2.3</v>
      </c>
      <c r="O60" s="43">
        <v>214.0</v>
      </c>
      <c r="P60" s="43">
        <v>14.0</v>
      </c>
      <c r="Q60" s="43">
        <v>0.85</v>
      </c>
      <c r="R60" s="43">
        <v>0.82</v>
      </c>
      <c r="S60" s="50">
        <v>0.0</v>
      </c>
      <c r="T60" s="123">
        <v>0.0</v>
      </c>
      <c r="U60" s="129"/>
      <c r="V60" s="129"/>
      <c r="AK60" s="10" t="s">
        <v>96</v>
      </c>
    </row>
    <row r="61" ht="15.75" customHeight="1">
      <c r="B61" s="39" t="s">
        <v>106</v>
      </c>
      <c r="C61" s="39" t="s">
        <v>124</v>
      </c>
      <c r="D61" s="43">
        <v>14.0</v>
      </c>
      <c r="E61" s="43">
        <v>1.52</v>
      </c>
      <c r="F61" s="43">
        <v>0.0</v>
      </c>
      <c r="G61" s="43">
        <v>0.0</v>
      </c>
      <c r="H61" s="43">
        <v>0.0</v>
      </c>
      <c r="I61" s="43">
        <v>7.6</v>
      </c>
      <c r="J61" s="43">
        <v>72.98</v>
      </c>
      <c r="K61" s="43">
        <v>0.05</v>
      </c>
      <c r="L61" s="43">
        <v>0.0</v>
      </c>
      <c r="M61" s="43">
        <v>0.0</v>
      </c>
      <c r="N61" s="43">
        <v>3.25</v>
      </c>
      <c r="O61" s="43">
        <v>1710.0</v>
      </c>
      <c r="P61" s="43">
        <v>9.85</v>
      </c>
      <c r="Q61" s="43">
        <v>4.08</v>
      </c>
      <c r="R61" s="43">
        <v>0.04</v>
      </c>
      <c r="S61" s="50">
        <v>0.0</v>
      </c>
      <c r="T61" s="123">
        <v>0.0</v>
      </c>
      <c r="U61" s="129">
        <v>3.7</v>
      </c>
      <c r="V61" s="129"/>
      <c r="AK61" s="10"/>
    </row>
    <row r="62" ht="15.75" customHeight="1">
      <c r="B62" s="39" t="s">
        <v>106</v>
      </c>
      <c r="C62" s="39" t="s">
        <v>125</v>
      </c>
      <c r="D62" s="43">
        <v>99.0</v>
      </c>
      <c r="E62" s="43">
        <v>0.0</v>
      </c>
      <c r="F62" s="43">
        <v>0.0</v>
      </c>
      <c r="G62" s="43">
        <v>0.0</v>
      </c>
      <c r="H62" s="43">
        <v>0.0</v>
      </c>
      <c r="I62" s="43">
        <v>0.0</v>
      </c>
      <c r="J62" s="43">
        <v>0.0</v>
      </c>
      <c r="K62" s="43">
        <v>0.0</v>
      </c>
      <c r="L62" s="43">
        <v>0.0</v>
      </c>
      <c r="M62" s="43">
        <v>0.0</v>
      </c>
      <c r="N62" s="43">
        <v>0.0</v>
      </c>
      <c r="O62" s="43">
        <v>0.0</v>
      </c>
      <c r="P62" s="43">
        <v>0.0</v>
      </c>
      <c r="Q62" s="43">
        <v>0.0</v>
      </c>
      <c r="R62" s="43">
        <v>0.0</v>
      </c>
      <c r="S62" s="50">
        <v>0.0</v>
      </c>
      <c r="T62" s="123">
        <v>0.0</v>
      </c>
      <c r="U62" s="129"/>
      <c r="V62" s="129"/>
      <c r="AK62" s="10"/>
    </row>
    <row r="63" ht="15.75" customHeight="1">
      <c r="B63" s="39" t="s">
        <v>106</v>
      </c>
      <c r="C63" s="39" t="s">
        <v>126</v>
      </c>
      <c r="D63" s="43">
        <v>0.0</v>
      </c>
      <c r="E63" s="43">
        <v>0.0</v>
      </c>
      <c r="F63" s="43">
        <v>0.0</v>
      </c>
      <c r="G63" s="43">
        <v>0.0</v>
      </c>
      <c r="H63" s="43">
        <v>0.0</v>
      </c>
      <c r="I63" s="43">
        <v>2.0</v>
      </c>
      <c r="J63" s="43">
        <v>1.0</v>
      </c>
      <c r="K63" s="43">
        <v>0.0</v>
      </c>
      <c r="L63" s="43">
        <v>0.0</v>
      </c>
      <c r="M63" s="43">
        <v>0.0</v>
      </c>
      <c r="N63" s="43">
        <v>16.0</v>
      </c>
      <c r="O63" s="43">
        <v>32000.0</v>
      </c>
      <c r="P63" s="43">
        <v>0.0</v>
      </c>
      <c r="Q63" s="43">
        <v>0.0</v>
      </c>
      <c r="R63" s="43">
        <v>0.0</v>
      </c>
      <c r="S63" s="50">
        <v>0.0</v>
      </c>
      <c r="T63" s="123">
        <v>0.0</v>
      </c>
      <c r="U63" s="129">
        <v>79.9</v>
      </c>
      <c r="V63" s="129"/>
      <c r="W63" s="118">
        <v>11.7</v>
      </c>
      <c r="X63" s="118">
        <v>5101.0</v>
      </c>
      <c r="AK63" s="10"/>
    </row>
    <row r="64" ht="15.75" customHeight="1">
      <c r="A64" s="45" t="s">
        <v>127</v>
      </c>
      <c r="B64" s="39" t="s">
        <v>106</v>
      </c>
      <c r="C64" s="39" t="s">
        <v>128</v>
      </c>
      <c r="D64" s="64">
        <v>94.8</v>
      </c>
      <c r="E64" s="64">
        <v>0.0</v>
      </c>
      <c r="F64" s="64">
        <v>0.0</v>
      </c>
      <c r="G64" s="64">
        <v>0.0</v>
      </c>
      <c r="H64" s="64">
        <v>0.0</v>
      </c>
      <c r="I64" s="64">
        <v>0.0</v>
      </c>
      <c r="J64" s="64">
        <v>0.04</v>
      </c>
      <c r="K64" s="112">
        <v>0.04</v>
      </c>
      <c r="L64" s="113">
        <v>0.0</v>
      </c>
      <c r="M64" s="61">
        <v>0.0</v>
      </c>
      <c r="N64" s="114">
        <v>0.0</v>
      </c>
      <c r="O64" s="64">
        <v>2.0</v>
      </c>
      <c r="P64" s="64">
        <v>6.0</v>
      </c>
      <c r="Q64" s="64">
        <v>0.03</v>
      </c>
      <c r="R64" s="64">
        <v>0.01</v>
      </c>
      <c r="S64" s="58">
        <v>0.0</v>
      </c>
      <c r="T64" s="58">
        <v>0.0</v>
      </c>
      <c r="X64" s="39">
        <v>4.0</v>
      </c>
      <c r="AK64" s="10"/>
    </row>
    <row r="65" ht="15.75" customHeight="1">
      <c r="A65" s="45"/>
      <c r="B65" s="39" t="s">
        <v>106</v>
      </c>
      <c r="C65" s="39" t="s">
        <v>129</v>
      </c>
      <c r="D65" s="64">
        <v>10.0</v>
      </c>
      <c r="E65" s="64">
        <v>1.5</v>
      </c>
      <c r="F65" s="64">
        <v>0.1</v>
      </c>
      <c r="G65" s="64">
        <v>0.0</v>
      </c>
      <c r="H65" s="64">
        <v>0.0</v>
      </c>
      <c r="I65" s="64">
        <v>48.0</v>
      </c>
      <c r="J65" s="64">
        <v>4.0</v>
      </c>
      <c r="K65" s="112">
        <v>2.0</v>
      </c>
      <c r="L65" s="113">
        <v>0.0</v>
      </c>
      <c r="M65" s="61">
        <v>0.0</v>
      </c>
      <c r="N65" s="114">
        <v>1.0</v>
      </c>
      <c r="O65" s="64">
        <v>17000.0</v>
      </c>
      <c r="P65" s="64">
        <v>0.0</v>
      </c>
      <c r="Q65" s="64">
        <v>0.0</v>
      </c>
      <c r="R65" s="64">
        <v>0.0</v>
      </c>
      <c r="S65" s="58">
        <v>0.0</v>
      </c>
      <c r="T65" s="58">
        <v>0.0</v>
      </c>
      <c r="U65" s="94">
        <v>20.0</v>
      </c>
      <c r="AK65" s="10"/>
    </row>
    <row r="66" ht="15.75" customHeight="1">
      <c r="A66" s="45"/>
      <c r="B66" s="39" t="s">
        <v>106</v>
      </c>
      <c r="C66" s="39" t="s">
        <v>130</v>
      </c>
      <c r="D66" s="64">
        <v>11.5</v>
      </c>
      <c r="E66" s="64">
        <v>0.3</v>
      </c>
      <c r="F66" s="64">
        <v>0.0</v>
      </c>
      <c r="G66" s="64">
        <v>0.0</v>
      </c>
      <c r="H66" s="64">
        <v>0.0</v>
      </c>
      <c r="I66" s="64">
        <v>1.0</v>
      </c>
      <c r="J66" s="64">
        <v>36.2</v>
      </c>
      <c r="K66" s="112">
        <v>14.9</v>
      </c>
      <c r="L66" s="113">
        <v>14.9</v>
      </c>
      <c r="M66" s="61">
        <v>0.0</v>
      </c>
      <c r="N66" s="114">
        <v>0.7</v>
      </c>
      <c r="O66" s="64">
        <v>21003.0</v>
      </c>
      <c r="P66" s="64">
        <v>28.0</v>
      </c>
      <c r="Q66" s="64">
        <v>0.49</v>
      </c>
      <c r="R66" s="64">
        <v>0.12</v>
      </c>
      <c r="S66" s="58">
        <v>1.55</v>
      </c>
      <c r="T66" s="58">
        <v>0.0</v>
      </c>
      <c r="U66" s="94">
        <v>51.0</v>
      </c>
      <c r="Y66" s="39">
        <v>2.5</v>
      </c>
      <c r="AJ66" s="39">
        <v>1.56</v>
      </c>
      <c r="AK66" s="10" t="s">
        <v>131</v>
      </c>
    </row>
    <row r="67" ht="15.75" customHeight="1">
      <c r="A67" s="45"/>
      <c r="B67" s="39" t="s">
        <v>106</v>
      </c>
      <c r="C67" s="39" t="s">
        <v>132</v>
      </c>
      <c r="D67" s="64">
        <v>10.0</v>
      </c>
      <c r="E67" s="64">
        <v>0.82</v>
      </c>
      <c r="F67" s="64">
        <v>0.38</v>
      </c>
      <c r="G67" s="64">
        <v>0.0</v>
      </c>
      <c r="H67" s="64">
        <v>0.0</v>
      </c>
      <c r="I67" s="64">
        <v>42.71</v>
      </c>
      <c r="J67" s="64">
        <v>33.21</v>
      </c>
      <c r="K67" s="112">
        <v>38.25</v>
      </c>
      <c r="L67" s="113">
        <v>3.51</v>
      </c>
      <c r="M67" s="61">
        <v>0.0</v>
      </c>
      <c r="N67" s="114">
        <v>0.16</v>
      </c>
      <c r="O67" s="64">
        <v>203.04</v>
      </c>
      <c r="P67" s="64">
        <v>5358.0</v>
      </c>
      <c r="Q67" s="64">
        <v>0.0</v>
      </c>
      <c r="R67" s="64">
        <v>0.0</v>
      </c>
      <c r="S67" s="58">
        <v>0.0</v>
      </c>
      <c r="T67" s="58">
        <v>0.0</v>
      </c>
      <c r="U67" s="61"/>
      <c r="AK67" s="10"/>
    </row>
    <row r="68" ht="15.75" customHeight="1">
      <c r="A68" s="45"/>
      <c r="B68" s="39" t="s">
        <v>106</v>
      </c>
      <c r="C68" s="39" t="s">
        <v>148</v>
      </c>
      <c r="D68" s="64">
        <v>10.0</v>
      </c>
      <c r="E68" s="64">
        <v>1.5</v>
      </c>
      <c r="F68" s="64">
        <v>0.1</v>
      </c>
      <c r="G68" s="64">
        <v>0.0</v>
      </c>
      <c r="H68" s="64">
        <v>0.0</v>
      </c>
      <c r="I68" s="64">
        <v>48.0</v>
      </c>
      <c r="J68" s="64">
        <v>4.0</v>
      </c>
      <c r="K68" s="112">
        <v>2.0</v>
      </c>
      <c r="L68" s="113">
        <v>0.0</v>
      </c>
      <c r="M68" s="61">
        <v>0.0</v>
      </c>
      <c r="N68" s="114">
        <v>1.0</v>
      </c>
      <c r="O68" s="64">
        <v>17000.0</v>
      </c>
      <c r="P68" s="64">
        <v>0.0</v>
      </c>
      <c r="Q68" s="64">
        <v>0.0</v>
      </c>
      <c r="R68" s="64">
        <v>0.0</v>
      </c>
      <c r="S68" s="58">
        <v>0.0</v>
      </c>
      <c r="T68" s="58">
        <v>0.0</v>
      </c>
      <c r="U68" s="61"/>
      <c r="AK68" s="10"/>
    </row>
    <row r="69" ht="15.75" customHeight="1">
      <c r="D69" s="64"/>
      <c r="E69" s="64"/>
      <c r="F69" s="64"/>
      <c r="G69" s="64"/>
      <c r="H69" s="64"/>
      <c r="I69" s="64"/>
      <c r="J69" s="64"/>
      <c r="K69" s="112"/>
      <c r="L69" s="113"/>
      <c r="M69" s="61"/>
      <c r="N69" s="114"/>
      <c r="O69" s="64"/>
      <c r="P69" s="64"/>
      <c r="Q69" s="64"/>
      <c r="R69" s="64"/>
      <c r="S69" s="58"/>
      <c r="T69" s="58"/>
      <c r="AK69" s="10"/>
    </row>
    <row r="70" ht="15.75" customHeight="1">
      <c r="B70" s="39" t="s">
        <v>134</v>
      </c>
      <c r="C70" s="39" t="s">
        <v>135</v>
      </c>
      <c r="D70" s="112">
        <v>0.0</v>
      </c>
      <c r="E70" s="112">
        <v>1.0</v>
      </c>
      <c r="F70" s="112">
        <v>0.2</v>
      </c>
      <c r="G70" s="112">
        <v>0.0</v>
      </c>
      <c r="H70" s="112">
        <v>0.0</v>
      </c>
      <c r="I70" s="112">
        <v>10.4</v>
      </c>
      <c r="J70" s="112">
        <v>79.1</v>
      </c>
      <c r="K70" s="112">
        <v>15.2</v>
      </c>
      <c r="L70" s="121">
        <v>0.0</v>
      </c>
      <c r="M70" s="43">
        <v>0.0</v>
      </c>
      <c r="N70" s="122">
        <v>6.6</v>
      </c>
      <c r="O70" s="112">
        <v>73.0</v>
      </c>
      <c r="P70" s="112">
        <v>384.0</v>
      </c>
      <c r="Q70" s="112">
        <v>3.9</v>
      </c>
      <c r="R70" s="112">
        <v>0.0</v>
      </c>
      <c r="S70" s="50">
        <v>0.0</v>
      </c>
      <c r="T70" s="50">
        <v>0.0</v>
      </c>
      <c r="AK70" s="10"/>
    </row>
    <row r="71" ht="15.75" customHeight="1">
      <c r="B71" s="39" t="s">
        <v>134</v>
      </c>
      <c r="C71" s="39" t="s">
        <v>136</v>
      </c>
      <c r="D71" s="64">
        <v>0.0</v>
      </c>
      <c r="E71" s="64">
        <v>13.0</v>
      </c>
      <c r="F71" s="64">
        <v>0.43</v>
      </c>
      <c r="G71" s="64">
        <v>0.0</v>
      </c>
      <c r="H71" s="64"/>
      <c r="I71" s="64">
        <v>15.0</v>
      </c>
      <c r="J71" s="64">
        <v>58.0</v>
      </c>
      <c r="K71" s="64">
        <v>25.0</v>
      </c>
      <c r="L71" s="113">
        <v>0.0</v>
      </c>
      <c r="M71" s="61">
        <v>0.0</v>
      </c>
      <c r="N71" s="114">
        <v>18.0</v>
      </c>
      <c r="O71" s="64">
        <v>30.0</v>
      </c>
      <c r="P71" s="64">
        <v>180.0</v>
      </c>
      <c r="Q71" s="64">
        <v>5.0</v>
      </c>
      <c r="R71" s="64">
        <v>1.9</v>
      </c>
      <c r="S71" s="58">
        <v>4450.0</v>
      </c>
      <c r="T71" s="58">
        <v>0.0</v>
      </c>
      <c r="AK71" s="10"/>
    </row>
    <row r="72" ht="15.75" customHeight="1">
      <c r="B72" s="39" t="s">
        <v>134</v>
      </c>
      <c r="C72" s="39" t="s">
        <v>137</v>
      </c>
      <c r="D72" s="64">
        <v>6.75</v>
      </c>
      <c r="E72" s="64">
        <v>0.8</v>
      </c>
      <c r="F72" s="64">
        <v>0.0</v>
      </c>
      <c r="G72" s="64">
        <v>0.0</v>
      </c>
      <c r="H72" s="64">
        <v>0.0</v>
      </c>
      <c r="I72" s="64">
        <v>17.0</v>
      </c>
      <c r="J72" s="64">
        <v>75.0</v>
      </c>
      <c r="K72" s="64">
        <v>24.0</v>
      </c>
      <c r="L72" s="113">
        <v>0.0</v>
      </c>
      <c r="M72" s="61">
        <v>0.0</v>
      </c>
      <c r="N72" s="114">
        <v>9.9</v>
      </c>
      <c r="O72" s="64">
        <v>60.0</v>
      </c>
      <c r="P72" s="64">
        <v>55.0</v>
      </c>
      <c r="Q72" s="64">
        <v>5.6</v>
      </c>
      <c r="R72" s="64">
        <v>0.0</v>
      </c>
      <c r="S72" s="58">
        <v>0.0</v>
      </c>
      <c r="T72" s="58">
        <v>0.0</v>
      </c>
      <c r="AJ72" s="39">
        <v>300.0</v>
      </c>
      <c r="AK72" s="10"/>
    </row>
    <row r="73" ht="15.75" customHeight="1">
      <c r="B73" s="39" t="s">
        <v>134</v>
      </c>
      <c r="C73" s="39" t="s">
        <v>138</v>
      </c>
      <c r="D73" s="64">
        <v>0.0</v>
      </c>
      <c r="E73" s="64">
        <v>3.3</v>
      </c>
      <c r="F73" s="64">
        <v>1.0</v>
      </c>
      <c r="G73" s="64">
        <v>0.0</v>
      </c>
      <c r="H73" s="64">
        <v>0.0</v>
      </c>
      <c r="I73" s="64">
        <v>11.0</v>
      </c>
      <c r="J73" s="64">
        <v>64.8</v>
      </c>
      <c r="K73" s="64">
        <v>26.5</v>
      </c>
      <c r="L73" s="113">
        <v>0.0</v>
      </c>
      <c r="M73" s="61">
        <v>0.0</v>
      </c>
      <c r="N73" s="114">
        <v>0.0</v>
      </c>
      <c r="O73" s="64">
        <v>44.0</v>
      </c>
      <c r="P73" s="64">
        <v>437.0</v>
      </c>
      <c r="Q73" s="64">
        <v>28.9</v>
      </c>
      <c r="R73" s="64">
        <v>0.0</v>
      </c>
      <c r="S73" s="58">
        <v>57.0</v>
      </c>
      <c r="T73" s="58">
        <v>0.0</v>
      </c>
      <c r="AK73" s="10"/>
    </row>
    <row r="74" ht="15.75" customHeight="1">
      <c r="B74" s="39" t="s">
        <v>134</v>
      </c>
      <c r="C74" s="39" t="s">
        <v>139</v>
      </c>
      <c r="D74" s="64">
        <v>14.0</v>
      </c>
      <c r="E74" s="64">
        <v>22.0</v>
      </c>
      <c r="F74" s="64">
        <v>1.5</v>
      </c>
      <c r="G74" s="64">
        <v>0.0</v>
      </c>
      <c r="H74" s="64">
        <v>0.0</v>
      </c>
      <c r="I74" s="64">
        <v>18.0</v>
      </c>
      <c r="J74" s="64">
        <v>44.0</v>
      </c>
      <c r="K74" s="112">
        <v>2.3</v>
      </c>
      <c r="L74" s="113">
        <v>0.0</v>
      </c>
      <c r="M74" s="61">
        <v>0.0</v>
      </c>
      <c r="N74" s="114">
        <v>11.0</v>
      </c>
      <c r="O74" s="64">
        <v>168.0</v>
      </c>
      <c r="P74" s="64">
        <v>791.0</v>
      </c>
      <c r="Q74" s="64">
        <v>56.0</v>
      </c>
      <c r="R74" s="64">
        <v>0.0</v>
      </c>
      <c r="S74" s="58">
        <v>324.0</v>
      </c>
      <c r="T74" s="58">
        <v>0.0</v>
      </c>
      <c r="AK74" s="10"/>
    </row>
    <row r="75" ht="15.75" customHeight="1">
      <c r="B75" s="39" t="s">
        <v>134</v>
      </c>
      <c r="C75" s="39" t="s">
        <v>140</v>
      </c>
      <c r="D75" s="132">
        <f>100-(I75+E75+J75+N75)</f>
        <v>11.2</v>
      </c>
      <c r="E75" s="132">
        <v>4.8</v>
      </c>
      <c r="F75" s="132">
        <v>0.0</v>
      </c>
      <c r="G75" s="132">
        <v>0.0</v>
      </c>
      <c r="H75" s="132">
        <v>0.0</v>
      </c>
      <c r="I75" s="132">
        <v>22.0</v>
      </c>
      <c r="J75" s="132">
        <v>52.0</v>
      </c>
      <c r="K75" s="132">
        <v>7.3</v>
      </c>
      <c r="L75" s="133">
        <v>0.0</v>
      </c>
      <c r="M75" s="134">
        <v>0.0</v>
      </c>
      <c r="N75" s="135">
        <v>10.0</v>
      </c>
      <c r="O75" s="132">
        <v>211.0</v>
      </c>
      <c r="P75" s="132">
        <v>1063.0</v>
      </c>
      <c r="Q75" s="132">
        <v>36.0</v>
      </c>
      <c r="R75" s="132">
        <v>4.0</v>
      </c>
      <c r="S75" s="134">
        <v>0.0</v>
      </c>
      <c r="T75" s="134">
        <v>0.0</v>
      </c>
      <c r="AK75" s="10"/>
    </row>
    <row r="76" ht="15.75" customHeight="1">
      <c r="B76" s="39" t="s">
        <v>134</v>
      </c>
      <c r="C76" s="39" t="s">
        <v>141</v>
      </c>
      <c r="D76" s="112">
        <v>0.0</v>
      </c>
      <c r="E76" s="112">
        <v>0.0</v>
      </c>
      <c r="F76" s="112">
        <v>0.0</v>
      </c>
      <c r="G76" s="112">
        <v>0.0</v>
      </c>
      <c r="H76" s="112">
        <v>0.0</v>
      </c>
      <c r="I76" s="112">
        <v>16.0</v>
      </c>
      <c r="J76" s="112">
        <v>40.0</v>
      </c>
      <c r="K76" s="112">
        <v>36.0</v>
      </c>
      <c r="L76" s="121">
        <v>0.0</v>
      </c>
      <c r="M76" s="43">
        <v>0.0</v>
      </c>
      <c r="N76" s="122">
        <v>0.0</v>
      </c>
      <c r="O76" s="112">
        <v>65.0</v>
      </c>
      <c r="P76" s="112">
        <v>220.0</v>
      </c>
      <c r="Q76" s="112">
        <v>0.0</v>
      </c>
      <c r="R76" s="112">
        <v>0.0</v>
      </c>
      <c r="S76" s="50">
        <v>30.0</v>
      </c>
      <c r="T76" s="50">
        <v>0.0</v>
      </c>
      <c r="AK76" s="10"/>
    </row>
    <row r="77" ht="15.75" customHeight="1">
      <c r="A77" s="57" t="s">
        <v>142</v>
      </c>
      <c r="B77" s="39" t="s">
        <v>134</v>
      </c>
      <c r="C77" s="39" t="s">
        <v>143</v>
      </c>
      <c r="D77" s="64">
        <v>83.0</v>
      </c>
      <c r="E77" s="64">
        <v>0.3</v>
      </c>
      <c r="F77" s="64">
        <v>0.04</v>
      </c>
      <c r="G77" s="64">
        <v>0.0</v>
      </c>
      <c r="H77" s="64">
        <v>0.0</v>
      </c>
      <c r="I77" s="64">
        <v>1.5</v>
      </c>
      <c r="J77" s="64">
        <v>14.2</v>
      </c>
      <c r="K77" s="112">
        <v>3.9</v>
      </c>
      <c r="L77" s="113">
        <v>0.0</v>
      </c>
      <c r="M77" s="61">
        <v>0.0</v>
      </c>
      <c r="N77" s="114">
        <v>1.8</v>
      </c>
      <c r="O77" s="64">
        <v>20.0</v>
      </c>
      <c r="P77" s="64">
        <v>59.0</v>
      </c>
      <c r="Q77" s="64">
        <v>2.1</v>
      </c>
      <c r="R77" s="64">
        <v>0.12</v>
      </c>
      <c r="S77" s="58">
        <v>83.0</v>
      </c>
      <c r="T77" s="58">
        <v>0.0</v>
      </c>
      <c r="X77" s="39">
        <v>35.0</v>
      </c>
      <c r="AK77" s="10"/>
    </row>
    <row r="78" ht="15.75" customHeight="1">
      <c r="A78" s="45" t="s">
        <v>144</v>
      </c>
      <c r="B78" s="39" t="s">
        <v>134</v>
      </c>
      <c r="C78" s="39" t="s">
        <v>145</v>
      </c>
      <c r="D78" s="122">
        <v>3.06</v>
      </c>
      <c r="E78" s="112">
        <v>0.44</v>
      </c>
      <c r="F78" s="112">
        <v>0.062</v>
      </c>
      <c r="G78" s="112">
        <v>0.0</v>
      </c>
      <c r="H78" s="112">
        <v>0.0</v>
      </c>
      <c r="I78" s="112">
        <v>12.9</v>
      </c>
      <c r="J78" s="112">
        <v>74.7</v>
      </c>
      <c r="K78" s="112">
        <v>43.9</v>
      </c>
      <c r="L78" s="121">
        <v>0.0</v>
      </c>
      <c r="M78" s="43">
        <v>0.0</v>
      </c>
      <c r="N78" s="122">
        <v>16.5</v>
      </c>
      <c r="O78" s="112">
        <v>134.0</v>
      </c>
      <c r="P78" s="112">
        <v>166.0</v>
      </c>
      <c r="Q78" s="112">
        <v>4.56</v>
      </c>
      <c r="R78" s="112">
        <v>1.71</v>
      </c>
      <c r="S78" s="50">
        <v>862.0</v>
      </c>
      <c r="T78" s="123">
        <v>0.0</v>
      </c>
      <c r="X78" s="39">
        <v>295.0</v>
      </c>
      <c r="AK78" s="10"/>
    </row>
    <row r="79" ht="15.75" customHeight="1">
      <c r="A79" s="45" t="s">
        <v>146</v>
      </c>
      <c r="B79" s="39" t="s">
        <v>134</v>
      </c>
      <c r="C79" s="39" t="s">
        <v>147</v>
      </c>
      <c r="D79" s="43">
        <v>8.05</v>
      </c>
      <c r="E79" s="43">
        <v>17.3</v>
      </c>
      <c r="F79" s="43">
        <v>3.26</v>
      </c>
      <c r="G79" s="43">
        <v>0.0</v>
      </c>
      <c r="H79" s="43">
        <v>0.0</v>
      </c>
      <c r="I79" s="43">
        <v>12.0</v>
      </c>
      <c r="J79" s="43">
        <v>56.6</v>
      </c>
      <c r="K79" s="43">
        <v>10.3</v>
      </c>
      <c r="L79" s="43">
        <v>0.0</v>
      </c>
      <c r="M79" s="43">
        <v>0.0</v>
      </c>
      <c r="N79" s="43">
        <v>27.2</v>
      </c>
      <c r="O79" s="43">
        <v>30.0</v>
      </c>
      <c r="P79" s="43">
        <v>148.0</v>
      </c>
      <c r="Q79" s="43">
        <v>7.8</v>
      </c>
      <c r="R79" s="43">
        <v>2.48</v>
      </c>
      <c r="S79" s="50">
        <v>2080.0</v>
      </c>
      <c r="T79" s="123">
        <v>0.0</v>
      </c>
      <c r="X79" s="39">
        <v>293.0</v>
      </c>
      <c r="AK79" s="10"/>
    </row>
    <row r="80" ht="15.75" customHeight="1">
      <c r="A80" s="45" t="s">
        <v>149</v>
      </c>
      <c r="B80" s="39" t="s">
        <v>134</v>
      </c>
      <c r="C80" s="39" t="s">
        <v>150</v>
      </c>
      <c r="D80" s="43">
        <v>5.89</v>
      </c>
      <c r="E80" s="43">
        <v>5.48</v>
      </c>
      <c r="F80" s="43">
        <v>1.38</v>
      </c>
      <c r="G80" s="43">
        <v>0.0</v>
      </c>
      <c r="H80" s="43">
        <v>0.0</v>
      </c>
      <c r="I80" s="43">
        <v>26.6</v>
      </c>
      <c r="J80" s="43">
        <v>50.6</v>
      </c>
      <c r="K80" s="43">
        <v>7.27</v>
      </c>
      <c r="L80" s="43">
        <v>0.0</v>
      </c>
      <c r="M80" s="43">
        <v>0.0</v>
      </c>
      <c r="N80" s="43">
        <v>26.7</v>
      </c>
      <c r="O80" s="43">
        <v>452.0</v>
      </c>
      <c r="P80" s="43">
        <v>1140.0</v>
      </c>
      <c r="Q80" s="43">
        <v>22.0</v>
      </c>
      <c r="R80" s="43">
        <v>5.44</v>
      </c>
      <c r="S80" s="50">
        <v>97.0</v>
      </c>
      <c r="T80" s="123">
        <v>0.0</v>
      </c>
      <c r="X80" s="39">
        <v>436.0</v>
      </c>
      <c r="AK80" s="10"/>
    </row>
    <row r="81" ht="15.75" customHeight="1">
      <c r="A81" s="57" t="s">
        <v>151</v>
      </c>
      <c r="B81" s="39" t="s">
        <v>134</v>
      </c>
      <c r="C81" s="39" t="s">
        <v>152</v>
      </c>
      <c r="D81" s="43">
        <v>9.93</v>
      </c>
      <c r="E81" s="43">
        <v>4.28</v>
      </c>
      <c r="F81" s="43">
        <v>1.55</v>
      </c>
      <c r="G81" s="43">
        <v>0.0</v>
      </c>
      <c r="H81" s="43">
        <v>0.0</v>
      </c>
      <c r="I81" s="43">
        <v>9.0</v>
      </c>
      <c r="J81" s="43">
        <v>68.9</v>
      </c>
      <c r="K81" s="43">
        <v>4.09</v>
      </c>
      <c r="L81" s="43">
        <v>0.0</v>
      </c>
      <c r="M81" s="43">
        <v>0.0</v>
      </c>
      <c r="N81" s="43">
        <v>42.5</v>
      </c>
      <c r="O81" s="43">
        <v>25.0</v>
      </c>
      <c r="P81" s="43">
        <v>1600.0</v>
      </c>
      <c r="Q81" s="43">
        <v>36.8</v>
      </c>
      <c r="R81" s="43">
        <v>2.69</v>
      </c>
      <c r="S81" s="50">
        <v>85.0</v>
      </c>
      <c r="T81" s="123">
        <v>0.0</v>
      </c>
      <c r="X81" s="39">
        <v>148.0</v>
      </c>
      <c r="AK81" s="10"/>
    </row>
    <row r="82" ht="15.75" customHeight="1">
      <c r="A82" s="45" t="s">
        <v>153</v>
      </c>
      <c r="B82" s="39" t="s">
        <v>134</v>
      </c>
      <c r="C82" s="39" t="s">
        <v>154</v>
      </c>
      <c r="D82" s="43">
        <v>7.79</v>
      </c>
      <c r="E82" s="43">
        <v>7.43</v>
      </c>
      <c r="F82" s="43">
        <v>2.73</v>
      </c>
      <c r="G82" s="43">
        <v>0.0</v>
      </c>
      <c r="H82" s="43">
        <v>0.0</v>
      </c>
      <c r="I82" s="43">
        <v>9.11</v>
      </c>
      <c r="J82" s="43">
        <v>63.9</v>
      </c>
      <c r="K82" s="43">
        <v>1.71</v>
      </c>
      <c r="L82" s="43">
        <v>0.0</v>
      </c>
      <c r="M82" s="43">
        <v>0.0</v>
      </c>
      <c r="N82" s="43">
        <v>37.0</v>
      </c>
      <c r="O82" s="43">
        <v>55.0</v>
      </c>
      <c r="P82" s="43">
        <v>1890.0</v>
      </c>
      <c r="Q82" s="43">
        <v>124.0</v>
      </c>
      <c r="R82" s="43">
        <v>6.18</v>
      </c>
      <c r="S82" s="50">
        <v>190.0</v>
      </c>
      <c r="T82" s="123">
        <v>0.0</v>
      </c>
      <c r="X82" s="39">
        <v>201.0</v>
      </c>
      <c r="AK82" s="10"/>
    </row>
    <row r="83" ht="15.75" customHeight="1">
      <c r="A83" s="45" t="s">
        <v>155</v>
      </c>
      <c r="B83" s="39" t="s">
        <v>134</v>
      </c>
      <c r="C83" s="39" t="s">
        <v>156</v>
      </c>
      <c r="D83" s="43">
        <v>6.23</v>
      </c>
      <c r="E83" s="43">
        <v>36.3</v>
      </c>
      <c r="F83" s="43">
        <v>25.9</v>
      </c>
      <c r="G83" s="43">
        <v>0.0</v>
      </c>
      <c r="H83" s="43">
        <v>0.0</v>
      </c>
      <c r="I83" s="43">
        <v>5.84</v>
      </c>
      <c r="J83" s="43">
        <v>49.3</v>
      </c>
      <c r="K83" s="43">
        <v>2.99</v>
      </c>
      <c r="L83" s="43">
        <v>0.0</v>
      </c>
      <c r="M83" s="43">
        <v>0.0</v>
      </c>
      <c r="N83" s="43">
        <v>20.8</v>
      </c>
      <c r="O83" s="43">
        <v>16.0</v>
      </c>
      <c r="P83" s="43">
        <v>184.0</v>
      </c>
      <c r="Q83" s="43">
        <v>3.04</v>
      </c>
      <c r="R83" s="43">
        <v>2.15</v>
      </c>
      <c r="S83" s="50">
        <v>30.6</v>
      </c>
      <c r="T83" s="123">
        <v>0.0</v>
      </c>
      <c r="X83" s="39">
        <v>213.0</v>
      </c>
      <c r="AK83" s="10"/>
    </row>
    <row r="84" ht="15.75" customHeight="1">
      <c r="A84" s="45" t="s">
        <v>157</v>
      </c>
      <c r="B84" s="39" t="s">
        <v>134</v>
      </c>
      <c r="C84" s="39" t="s">
        <v>158</v>
      </c>
      <c r="D84" s="43">
        <v>9.87</v>
      </c>
      <c r="E84" s="43">
        <v>13.0</v>
      </c>
      <c r="F84" s="43">
        <v>3.95</v>
      </c>
      <c r="G84" s="43">
        <v>0.254</v>
      </c>
      <c r="H84" s="43">
        <v>0.0</v>
      </c>
      <c r="I84" s="43">
        <v>5.97</v>
      </c>
      <c r="J84" s="43">
        <v>65.5</v>
      </c>
      <c r="K84" s="43">
        <v>2.38</v>
      </c>
      <c r="L84" s="43">
        <v>0.0</v>
      </c>
      <c r="M84" s="43">
        <v>0.0</v>
      </c>
      <c r="N84" s="43">
        <v>33.9</v>
      </c>
      <c r="O84" s="43">
        <v>277.0</v>
      </c>
      <c r="P84" s="43">
        <v>632.0</v>
      </c>
      <c r="Q84" s="43">
        <v>11.8</v>
      </c>
      <c r="R84" s="43">
        <v>2.32</v>
      </c>
      <c r="S84" s="50">
        <v>8.0</v>
      </c>
      <c r="T84" s="123">
        <v>0.0</v>
      </c>
      <c r="X84" s="39">
        <v>104.0</v>
      </c>
      <c r="AK84" s="10"/>
    </row>
    <row r="85" ht="15.75" customHeight="1">
      <c r="A85" s="45"/>
      <c r="D85" s="43"/>
      <c r="E85" s="43"/>
      <c r="F85" s="43"/>
      <c r="G85" s="43"/>
      <c r="H85" s="43"/>
      <c r="I85" s="43"/>
      <c r="J85" s="43"/>
      <c r="K85" s="43"/>
      <c r="L85" s="43"/>
      <c r="M85" s="43"/>
      <c r="N85" s="43"/>
      <c r="O85" s="43"/>
      <c r="P85" s="43"/>
      <c r="Q85" s="43"/>
      <c r="R85" s="43"/>
      <c r="S85" s="50"/>
      <c r="T85" s="123"/>
      <c r="AK85" s="10"/>
    </row>
    <row r="86" ht="15.75" customHeight="1">
      <c r="B86" s="39" t="s">
        <v>160</v>
      </c>
      <c r="C86" s="39" t="s">
        <v>161</v>
      </c>
      <c r="D86" s="64">
        <v>0.0</v>
      </c>
      <c r="E86" s="64">
        <v>0.0</v>
      </c>
      <c r="F86" s="64">
        <v>0.0</v>
      </c>
      <c r="G86" s="64">
        <v>0.0</v>
      </c>
      <c r="H86" s="64">
        <v>0.0</v>
      </c>
      <c r="I86" s="64">
        <v>0.0</v>
      </c>
      <c r="J86" s="64">
        <v>0.0</v>
      </c>
      <c r="K86" s="64">
        <v>0.0</v>
      </c>
      <c r="L86" s="113">
        <v>0.0</v>
      </c>
      <c r="M86" s="61">
        <v>0.0</v>
      </c>
      <c r="N86" s="114">
        <v>0.0</v>
      </c>
      <c r="O86" s="64">
        <v>19500.0</v>
      </c>
      <c r="P86" s="64">
        <v>0.0</v>
      </c>
      <c r="Q86" s="64">
        <v>0.0</v>
      </c>
      <c r="R86" s="64">
        <v>0.0</v>
      </c>
      <c r="S86" s="58">
        <v>0.0</v>
      </c>
      <c r="T86" s="58">
        <v>0.0</v>
      </c>
      <c r="U86" s="129">
        <v>50.0</v>
      </c>
      <c r="Z86" s="39">
        <v>50.0</v>
      </c>
      <c r="AK86" s="10"/>
    </row>
    <row r="87" ht="15.75" customHeight="1">
      <c r="B87" s="39" t="s">
        <v>160</v>
      </c>
      <c r="C87" s="39" t="s">
        <v>162</v>
      </c>
      <c r="D87" s="61">
        <v>0.0</v>
      </c>
      <c r="E87" s="61">
        <v>0.0</v>
      </c>
      <c r="F87" s="61">
        <v>0.0</v>
      </c>
      <c r="G87" s="61">
        <v>0.0</v>
      </c>
      <c r="H87" s="61">
        <v>0.0</v>
      </c>
      <c r="I87" s="61">
        <v>0.0</v>
      </c>
      <c r="J87" s="61">
        <v>0.0</v>
      </c>
      <c r="K87" s="61">
        <v>0.0</v>
      </c>
      <c r="L87" s="61">
        <v>0.0</v>
      </c>
      <c r="M87" s="61">
        <v>0.0</v>
      </c>
      <c r="N87" s="61">
        <v>0.0</v>
      </c>
      <c r="O87" s="61">
        <v>29250.0</v>
      </c>
      <c r="P87" s="61">
        <v>0.0</v>
      </c>
      <c r="Q87" s="61">
        <v>0.0</v>
      </c>
      <c r="R87" s="61">
        <v>0.0</v>
      </c>
      <c r="S87" s="58">
        <v>0.0</v>
      </c>
      <c r="T87" s="103">
        <v>0.0</v>
      </c>
      <c r="U87" s="129">
        <v>75.0</v>
      </c>
      <c r="Z87" s="39">
        <v>25.0</v>
      </c>
      <c r="AK87" s="10"/>
    </row>
    <row r="88" ht="15.75" customHeight="1">
      <c r="B88" s="39" t="s">
        <v>160</v>
      </c>
      <c r="C88" s="39" t="s">
        <v>163</v>
      </c>
      <c r="D88" s="114">
        <v>0.0</v>
      </c>
      <c r="E88" s="64">
        <v>0.0</v>
      </c>
      <c r="F88" s="64">
        <v>0.0</v>
      </c>
      <c r="G88" s="64">
        <v>0.0</v>
      </c>
      <c r="H88" s="64">
        <v>0.0</v>
      </c>
      <c r="I88" s="64">
        <v>0.001</v>
      </c>
      <c r="J88" s="64">
        <v>0.005</v>
      </c>
      <c r="K88" s="112">
        <v>0.0</v>
      </c>
      <c r="L88" s="113">
        <v>0.0</v>
      </c>
      <c r="M88" s="61">
        <v>0.0</v>
      </c>
      <c r="N88" s="114">
        <v>0.0</v>
      </c>
      <c r="O88" s="64">
        <v>38339.0</v>
      </c>
      <c r="P88" s="64">
        <v>0.0</v>
      </c>
      <c r="Q88" s="64">
        <v>0.0</v>
      </c>
      <c r="R88" s="64">
        <v>0.0</v>
      </c>
      <c r="S88" s="58">
        <v>0.0</v>
      </c>
      <c r="T88" s="103">
        <v>0.0</v>
      </c>
      <c r="U88" s="131">
        <v>87.95</v>
      </c>
      <c r="V88" s="131">
        <v>12.5</v>
      </c>
      <c r="AK88" s="10"/>
    </row>
    <row r="89" ht="15.75" customHeight="1">
      <c r="B89" s="39" t="s">
        <v>160</v>
      </c>
      <c r="C89" s="39" t="s">
        <v>164</v>
      </c>
      <c r="D89" s="122">
        <v>0.0</v>
      </c>
      <c r="E89" s="112">
        <v>2.0</v>
      </c>
      <c r="F89" s="112">
        <v>2.0</v>
      </c>
      <c r="G89" s="112">
        <v>0.0</v>
      </c>
      <c r="H89" s="112">
        <v>0.0</v>
      </c>
      <c r="I89" s="112">
        <v>1.0</v>
      </c>
      <c r="J89" s="112">
        <v>33.0</v>
      </c>
      <c r="K89" s="112">
        <v>2.0</v>
      </c>
      <c r="L89" s="121">
        <v>2.0</v>
      </c>
      <c r="M89" s="43">
        <v>0.0</v>
      </c>
      <c r="N89" s="122">
        <v>0.0</v>
      </c>
      <c r="O89" s="112">
        <v>17000.0</v>
      </c>
      <c r="P89" s="112">
        <v>0.0</v>
      </c>
      <c r="Q89" s="112">
        <v>0.0</v>
      </c>
      <c r="R89" s="112">
        <v>0.0</v>
      </c>
      <c r="S89" s="50">
        <v>0.0</v>
      </c>
      <c r="T89" s="123">
        <v>0.0</v>
      </c>
      <c r="U89" s="129">
        <v>3.5</v>
      </c>
      <c r="V89" s="129"/>
      <c r="Z89" s="39">
        <v>0.125</v>
      </c>
      <c r="AH89" s="39">
        <v>56.0</v>
      </c>
      <c r="AI89" s="39">
        <v>4.0</v>
      </c>
      <c r="AK89" s="10"/>
    </row>
    <row r="90" ht="15.75" customHeight="1">
      <c r="B90" s="39" t="s">
        <v>160</v>
      </c>
      <c r="C90" s="39" t="s">
        <v>165</v>
      </c>
      <c r="D90" s="43">
        <v>0.0</v>
      </c>
      <c r="E90" s="43">
        <v>0.0</v>
      </c>
      <c r="F90" s="43">
        <v>0.0</v>
      </c>
      <c r="G90" s="43">
        <v>0.0</v>
      </c>
      <c r="H90" s="43">
        <v>0.0</v>
      </c>
      <c r="I90" s="43">
        <v>0.0</v>
      </c>
      <c r="J90" s="43">
        <v>0.0</v>
      </c>
      <c r="K90" s="43">
        <v>0.0</v>
      </c>
      <c r="L90" s="43">
        <v>0.0</v>
      </c>
      <c r="M90" s="43">
        <v>0.0</v>
      </c>
      <c r="N90" s="43">
        <v>0.0</v>
      </c>
      <c r="O90" s="43">
        <v>0.0</v>
      </c>
      <c r="P90" s="43">
        <v>0.0</v>
      </c>
      <c r="Q90" s="43">
        <v>0.0</v>
      </c>
      <c r="R90" s="43">
        <v>0.0</v>
      </c>
      <c r="S90" s="43">
        <v>0.0</v>
      </c>
      <c r="T90" s="43">
        <v>0.0</v>
      </c>
      <c r="U90" s="129"/>
      <c r="V90" s="129"/>
      <c r="AK90" s="10"/>
    </row>
    <row r="91" ht="15.75" customHeight="1">
      <c r="B91" s="39" t="s">
        <v>160</v>
      </c>
      <c r="C91" s="39" t="s">
        <v>166</v>
      </c>
      <c r="D91" s="43">
        <v>0.0</v>
      </c>
      <c r="E91" s="43">
        <v>0.0</v>
      </c>
      <c r="F91" s="43">
        <v>0.0</v>
      </c>
      <c r="G91" s="43">
        <v>0.0</v>
      </c>
      <c r="H91" s="43">
        <v>0.0</v>
      </c>
      <c r="I91" s="43">
        <v>0.0</v>
      </c>
      <c r="J91" s="43">
        <v>0.0</v>
      </c>
      <c r="K91" s="43">
        <v>0.0</v>
      </c>
      <c r="L91" s="43">
        <v>0.0</v>
      </c>
      <c r="M91" s="43">
        <v>0.0</v>
      </c>
      <c r="N91" s="43">
        <v>0.0</v>
      </c>
      <c r="O91" s="43">
        <v>22940.0</v>
      </c>
      <c r="P91" s="43">
        <v>0.0</v>
      </c>
      <c r="Q91" s="43">
        <v>0.0</v>
      </c>
      <c r="R91" s="43">
        <v>0.0</v>
      </c>
      <c r="S91" s="43">
        <v>0.0</v>
      </c>
      <c r="T91" s="43">
        <v>0.0</v>
      </c>
      <c r="U91" s="129"/>
      <c r="V91" s="129"/>
      <c r="AJ91" s="39">
        <v>211500.0</v>
      </c>
      <c r="AK91" s="10" t="s">
        <v>167</v>
      </c>
    </row>
    <row r="92" ht="15.75" customHeight="1">
      <c r="D92" s="43"/>
      <c r="E92" s="43"/>
      <c r="F92" s="43"/>
      <c r="G92" s="43"/>
      <c r="H92" s="43"/>
      <c r="I92" s="43"/>
      <c r="J92" s="43"/>
      <c r="K92" s="43"/>
      <c r="L92" s="43"/>
      <c r="M92" s="43"/>
      <c r="N92" s="43"/>
      <c r="O92" s="43"/>
      <c r="P92" s="43"/>
      <c r="Q92" s="43"/>
      <c r="R92" s="43"/>
      <c r="S92" s="50"/>
      <c r="T92" s="123"/>
      <c r="U92" s="129"/>
      <c r="V92" s="129"/>
      <c r="AK92" s="10"/>
    </row>
    <row r="93" ht="15.75" customHeight="1">
      <c r="B93" s="39" t="s">
        <v>168</v>
      </c>
      <c r="C93" s="39" t="s">
        <v>169</v>
      </c>
      <c r="D93" s="61">
        <v>0.0</v>
      </c>
      <c r="E93" s="61">
        <v>0.0</v>
      </c>
      <c r="F93" s="61">
        <v>0.0</v>
      </c>
      <c r="G93" s="61">
        <v>0.0</v>
      </c>
      <c r="H93" s="61">
        <v>0.0</v>
      </c>
      <c r="I93" s="61">
        <v>0.0</v>
      </c>
      <c r="J93" s="61">
        <v>0.0</v>
      </c>
      <c r="K93" s="61">
        <v>0.0</v>
      </c>
      <c r="L93" s="61">
        <v>0.0</v>
      </c>
      <c r="M93" s="61">
        <v>0.0</v>
      </c>
      <c r="N93" s="61">
        <v>0.0</v>
      </c>
      <c r="O93" s="136">
        <v>16180.0</v>
      </c>
      <c r="P93" s="61">
        <v>0.0</v>
      </c>
      <c r="Q93" s="61">
        <v>0.0</v>
      </c>
      <c r="R93" s="61">
        <v>0.0</v>
      </c>
      <c r="S93" s="58">
        <v>0.0</v>
      </c>
      <c r="T93" s="58">
        <v>0.0</v>
      </c>
      <c r="U93" s="129"/>
      <c r="V93" s="129"/>
      <c r="AH93" s="39">
        <v>60.0</v>
      </c>
      <c r="AK93" s="10"/>
    </row>
    <row r="94" ht="15.75" customHeight="1">
      <c r="B94" s="39" t="s">
        <v>168</v>
      </c>
      <c r="C94" s="39" t="s">
        <v>170</v>
      </c>
      <c r="D94" s="122">
        <v>0.0</v>
      </c>
      <c r="E94" s="112">
        <v>0.0</v>
      </c>
      <c r="F94" s="112">
        <v>0.0</v>
      </c>
      <c r="G94" s="112">
        <v>0.0</v>
      </c>
      <c r="H94" s="112">
        <v>0.0</v>
      </c>
      <c r="I94" s="112">
        <v>0.0</v>
      </c>
      <c r="J94" s="112">
        <v>0.0</v>
      </c>
      <c r="K94" s="112">
        <v>0.0</v>
      </c>
      <c r="L94" s="121">
        <v>0.0</v>
      </c>
      <c r="M94" s="43">
        <v>0.0</v>
      </c>
      <c r="N94" s="122">
        <v>0.0</v>
      </c>
      <c r="O94" s="112">
        <v>11100.0</v>
      </c>
      <c r="P94" s="112">
        <v>0.0</v>
      </c>
      <c r="Q94" s="112">
        <v>0.0</v>
      </c>
      <c r="R94" s="112">
        <v>0.0</v>
      </c>
      <c r="S94" s="50">
        <v>0.0</v>
      </c>
      <c r="T94" s="123">
        <v>0.0</v>
      </c>
      <c r="W94" s="118">
        <v>50.0</v>
      </c>
      <c r="X94" s="39">
        <v>21800.0</v>
      </c>
      <c r="AK94" s="10"/>
    </row>
    <row r="95" ht="15.75" customHeight="1">
      <c r="B95" s="39" t="s">
        <v>168</v>
      </c>
      <c r="C95" s="39" t="s">
        <v>171</v>
      </c>
      <c r="D95" s="112">
        <v>0.0</v>
      </c>
      <c r="E95" s="112">
        <v>0.0</v>
      </c>
      <c r="F95" s="112">
        <v>0.0</v>
      </c>
      <c r="G95" s="112">
        <v>0.0</v>
      </c>
      <c r="H95" s="112">
        <v>0.0</v>
      </c>
      <c r="I95" s="112">
        <v>0.0</v>
      </c>
      <c r="J95" s="112">
        <v>0.0</v>
      </c>
      <c r="K95" s="112">
        <v>0.0</v>
      </c>
      <c r="L95" s="121">
        <v>0.0</v>
      </c>
      <c r="M95" s="43">
        <v>0.0</v>
      </c>
      <c r="N95" s="122">
        <v>0.0</v>
      </c>
      <c r="O95" s="112">
        <v>31252.0</v>
      </c>
      <c r="P95" s="112">
        <v>0.0</v>
      </c>
      <c r="Q95" s="112">
        <v>1.0</v>
      </c>
      <c r="R95" s="112">
        <v>0.0</v>
      </c>
      <c r="S95" s="50">
        <v>0.0</v>
      </c>
      <c r="T95" s="50">
        <v>0.0</v>
      </c>
      <c r="U95" s="137">
        <v>3.63</v>
      </c>
      <c r="W95" s="138"/>
      <c r="X95" s="39">
        <v>25261.0</v>
      </c>
      <c r="AK95" s="10"/>
    </row>
    <row r="96" ht="15.75" customHeight="1">
      <c r="B96" s="39" t="s">
        <v>168</v>
      </c>
      <c r="C96" s="39" t="s">
        <v>172</v>
      </c>
      <c r="D96" s="43">
        <v>0.0</v>
      </c>
      <c r="E96" s="43">
        <v>0.0</v>
      </c>
      <c r="F96" s="43">
        <v>0.0</v>
      </c>
      <c r="G96" s="43">
        <v>0.0</v>
      </c>
      <c r="H96" s="43">
        <v>0.0</v>
      </c>
      <c r="I96" s="43">
        <v>0.0</v>
      </c>
      <c r="J96" s="43">
        <v>0.0</v>
      </c>
      <c r="K96" s="43">
        <v>0.0</v>
      </c>
      <c r="L96" s="43">
        <v>0.0</v>
      </c>
      <c r="M96" s="43">
        <v>0.0</v>
      </c>
      <c r="N96" s="43">
        <v>0.0</v>
      </c>
      <c r="O96" s="43">
        <v>1960.0</v>
      </c>
      <c r="P96" s="43">
        <v>0.0</v>
      </c>
      <c r="Q96" s="43">
        <v>0.0</v>
      </c>
      <c r="R96" s="43">
        <v>0.0</v>
      </c>
      <c r="S96" s="50">
        <v>0.0</v>
      </c>
      <c r="T96" s="123">
        <v>0.0</v>
      </c>
      <c r="U96" s="118">
        <v>4.89</v>
      </c>
      <c r="W96" s="118">
        <v>45.0</v>
      </c>
      <c r="X96" s="118">
        <v>19620.0</v>
      </c>
      <c r="AK96" s="10"/>
    </row>
    <row r="97" ht="15.75" customHeight="1">
      <c r="B97" s="39" t="s">
        <v>168</v>
      </c>
      <c r="C97" s="39" t="s">
        <v>173</v>
      </c>
      <c r="D97" s="61">
        <v>0.0</v>
      </c>
      <c r="E97" s="61">
        <v>0.0</v>
      </c>
      <c r="F97" s="61">
        <v>0.0</v>
      </c>
      <c r="G97" s="61">
        <v>0.0</v>
      </c>
      <c r="H97" s="61">
        <v>0.0</v>
      </c>
      <c r="I97" s="61">
        <v>0.0</v>
      </c>
      <c r="J97" s="61">
        <v>0.0</v>
      </c>
      <c r="K97" s="61">
        <v>0.0</v>
      </c>
      <c r="L97" s="61">
        <v>0.0</v>
      </c>
      <c r="M97" s="61">
        <v>0.0</v>
      </c>
      <c r="N97" s="61">
        <v>0.0</v>
      </c>
      <c r="O97" s="61">
        <v>200.0</v>
      </c>
      <c r="P97" s="61">
        <v>0.0</v>
      </c>
      <c r="Q97" s="61">
        <v>0.0</v>
      </c>
      <c r="R97" s="61">
        <v>0.0</v>
      </c>
      <c r="S97" s="94">
        <v>0.0</v>
      </c>
      <c r="T97" s="95">
        <v>0.0</v>
      </c>
      <c r="U97" s="129">
        <v>0.5</v>
      </c>
      <c r="AK97" s="10"/>
    </row>
    <row r="98" ht="15.75" customHeight="1">
      <c r="B98" s="39" t="s">
        <v>168</v>
      </c>
      <c r="C98" s="39" t="s">
        <v>174</v>
      </c>
      <c r="D98" s="61">
        <v>0.1</v>
      </c>
      <c r="E98" s="61">
        <v>0.0</v>
      </c>
      <c r="F98" s="61">
        <v>0.0</v>
      </c>
      <c r="G98" s="61">
        <v>0.0</v>
      </c>
      <c r="H98" s="61">
        <v>0.0</v>
      </c>
      <c r="I98" s="61">
        <v>0.0</v>
      </c>
      <c r="J98" s="61">
        <v>0.0</v>
      </c>
      <c r="K98" s="43">
        <v>0.0</v>
      </c>
      <c r="L98" s="61">
        <v>0.0</v>
      </c>
      <c r="M98" s="61">
        <v>0.0</v>
      </c>
      <c r="N98" s="61">
        <v>0.0</v>
      </c>
      <c r="O98" s="61">
        <v>20722.0</v>
      </c>
      <c r="P98" s="61">
        <v>0.0</v>
      </c>
      <c r="Q98" s="61">
        <v>0.5</v>
      </c>
      <c r="R98" s="61">
        <v>0.0</v>
      </c>
      <c r="S98" s="61">
        <v>0.0</v>
      </c>
      <c r="T98" s="61">
        <v>0.0</v>
      </c>
      <c r="U98" s="129">
        <v>51.6</v>
      </c>
      <c r="X98" s="39">
        <v>27916.0</v>
      </c>
      <c r="AK98" s="10"/>
    </row>
    <row r="99" ht="15.75" customHeight="1">
      <c r="B99" s="39" t="s">
        <v>168</v>
      </c>
      <c r="C99" s="39" t="s">
        <v>175</v>
      </c>
      <c r="D99" s="61">
        <v>0.0</v>
      </c>
      <c r="E99" s="61">
        <v>0.0</v>
      </c>
      <c r="F99" s="61">
        <v>0.0</v>
      </c>
      <c r="G99" s="61">
        <v>0.0</v>
      </c>
      <c r="H99" s="61">
        <v>0.0</v>
      </c>
      <c r="I99" s="61">
        <v>0.0</v>
      </c>
      <c r="J99" s="61">
        <v>0.0</v>
      </c>
      <c r="K99" s="43">
        <v>0.0</v>
      </c>
      <c r="L99" s="61">
        <v>0.0</v>
      </c>
      <c r="M99" s="61">
        <v>0.0</v>
      </c>
      <c r="N99" s="61">
        <v>0.0</v>
      </c>
      <c r="O99" s="61">
        <v>0.0</v>
      </c>
      <c r="P99" s="61">
        <v>0.0</v>
      </c>
      <c r="Q99" s="61">
        <v>0.0</v>
      </c>
      <c r="R99" s="61">
        <v>0.0</v>
      </c>
      <c r="S99" s="61">
        <v>0.0</v>
      </c>
      <c r="T99" s="61">
        <v>0.0</v>
      </c>
      <c r="U99" s="129"/>
      <c r="AK99" s="10"/>
    </row>
    <row r="100" ht="15.75" customHeight="1">
      <c r="AK100" s="10"/>
    </row>
    <row r="101" ht="15.75" customHeight="1">
      <c r="B101" s="39" t="s">
        <v>176</v>
      </c>
      <c r="C101" s="39" t="s">
        <v>177</v>
      </c>
      <c r="D101" s="43">
        <v>53.0</v>
      </c>
      <c r="E101" s="43">
        <v>0.395</v>
      </c>
      <c r="F101" s="43">
        <v>0.012</v>
      </c>
      <c r="G101" s="43">
        <v>0.0</v>
      </c>
      <c r="H101" s="43">
        <v>0.0</v>
      </c>
      <c r="I101" s="43">
        <v>14.063</v>
      </c>
      <c r="J101" s="43">
        <v>25.871</v>
      </c>
      <c r="K101" s="43">
        <v>0.998</v>
      </c>
      <c r="L101" s="43">
        <v>0.0</v>
      </c>
      <c r="M101" s="43">
        <v>0.0</v>
      </c>
      <c r="N101" s="43">
        <v>1.115</v>
      </c>
      <c r="O101" s="43">
        <v>6880.715</v>
      </c>
      <c r="P101" s="43">
        <v>24.221</v>
      </c>
      <c r="Q101" s="43">
        <v>0.592</v>
      </c>
      <c r="R101" s="43">
        <v>0.0</v>
      </c>
      <c r="S101" s="50">
        <v>0.0</v>
      </c>
      <c r="T101" s="123">
        <v>0.0</v>
      </c>
      <c r="U101" s="39">
        <v>17.2</v>
      </c>
      <c r="AK101" s="10" t="s">
        <v>60</v>
      </c>
    </row>
    <row r="102" ht="15.75" customHeight="1">
      <c r="B102" s="39" t="s">
        <v>176</v>
      </c>
      <c r="C102" s="39" t="s">
        <v>178</v>
      </c>
      <c r="D102" s="114">
        <v>0.0</v>
      </c>
      <c r="E102" s="64">
        <v>0.0</v>
      </c>
      <c r="F102" s="64">
        <v>1.0</v>
      </c>
      <c r="G102" s="64">
        <v>1.0</v>
      </c>
      <c r="H102" s="64">
        <v>0.0</v>
      </c>
      <c r="I102" s="64">
        <v>14.0</v>
      </c>
      <c r="J102" s="64">
        <v>48.0</v>
      </c>
      <c r="K102" s="112">
        <v>30.0</v>
      </c>
      <c r="L102" s="113">
        <v>0.0</v>
      </c>
      <c r="M102" s="61">
        <v>0.0</v>
      </c>
      <c r="N102" s="114">
        <v>1.0</v>
      </c>
      <c r="O102" s="64">
        <v>16000.0</v>
      </c>
      <c r="P102" s="64">
        <v>0.0</v>
      </c>
      <c r="Q102" s="64">
        <v>0.0</v>
      </c>
      <c r="R102" s="64">
        <v>0.0</v>
      </c>
      <c r="S102" s="58">
        <v>0.0</v>
      </c>
      <c r="T102" s="103">
        <v>0.0</v>
      </c>
      <c r="U102" s="39">
        <v>41.0</v>
      </c>
      <c r="AK102" s="10"/>
    </row>
    <row r="103" ht="15.75" customHeight="1">
      <c r="B103" s="39" t="s">
        <v>176</v>
      </c>
      <c r="C103" s="39" t="s">
        <v>179</v>
      </c>
      <c r="D103" s="50">
        <v>0.0</v>
      </c>
      <c r="E103" s="50">
        <v>0.0</v>
      </c>
      <c r="F103" s="50">
        <v>0.0</v>
      </c>
      <c r="G103" s="50">
        <v>0.0</v>
      </c>
      <c r="H103" s="50">
        <v>0.0</v>
      </c>
      <c r="I103" s="50">
        <v>0.0</v>
      </c>
      <c r="J103" s="50">
        <v>60.7</v>
      </c>
      <c r="K103" s="50">
        <v>2.2</v>
      </c>
      <c r="L103" s="123">
        <v>0.0</v>
      </c>
      <c r="M103" s="43">
        <v>0.0</v>
      </c>
      <c r="N103" s="56">
        <v>0.0</v>
      </c>
      <c r="O103" s="50">
        <v>45.0</v>
      </c>
      <c r="P103" s="50">
        <v>16.0</v>
      </c>
      <c r="Q103" s="50">
        <v>0.0</v>
      </c>
      <c r="R103" s="50">
        <v>0.0</v>
      </c>
      <c r="S103" s="50">
        <v>0.0</v>
      </c>
      <c r="T103" s="50">
        <v>0.0</v>
      </c>
      <c r="AK103" s="10"/>
    </row>
    <row r="104" ht="15.75" customHeight="1">
      <c r="B104" s="39" t="s">
        <v>176</v>
      </c>
      <c r="C104" s="39" t="s">
        <v>180</v>
      </c>
      <c r="D104" s="43">
        <v>0.0</v>
      </c>
      <c r="E104" s="43">
        <v>2.4</v>
      </c>
      <c r="F104" s="43">
        <v>1.39</v>
      </c>
      <c r="G104" s="43">
        <v>0.08</v>
      </c>
      <c r="H104" s="43">
        <v>0.0</v>
      </c>
      <c r="I104" s="43">
        <v>4.51</v>
      </c>
      <c r="J104" s="43">
        <v>46.44</v>
      </c>
      <c r="K104" s="43">
        <v>10.18</v>
      </c>
      <c r="L104" s="43">
        <v>0.0</v>
      </c>
      <c r="M104" s="43">
        <v>19.67</v>
      </c>
      <c r="N104" s="43">
        <v>3.85</v>
      </c>
      <c r="O104" s="43">
        <v>14890.0</v>
      </c>
      <c r="P104" s="43">
        <v>0.0</v>
      </c>
      <c r="Q104" s="43">
        <v>0.0</v>
      </c>
      <c r="R104" s="43">
        <v>0.0</v>
      </c>
      <c r="S104" s="43">
        <v>0.0</v>
      </c>
      <c r="T104" s="43">
        <v>0.0</v>
      </c>
      <c r="U104" s="39">
        <v>37.25</v>
      </c>
      <c r="AK104" s="10"/>
    </row>
    <row r="105" ht="15.75" customHeight="1">
      <c r="B105" s="39" t="s">
        <v>176</v>
      </c>
      <c r="C105" s="39" t="s">
        <v>181</v>
      </c>
      <c r="D105" s="139">
        <v>2.0</v>
      </c>
      <c r="E105" s="140">
        <v>0.0</v>
      </c>
      <c r="F105" s="140">
        <v>0.0</v>
      </c>
      <c r="G105" s="140">
        <v>0.0</v>
      </c>
      <c r="H105" s="140">
        <v>0.0</v>
      </c>
      <c r="I105" s="140">
        <v>0.0</v>
      </c>
      <c r="J105" s="140">
        <v>98.0</v>
      </c>
      <c r="K105" s="140">
        <v>0.0</v>
      </c>
      <c r="L105" s="141">
        <v>0.0</v>
      </c>
      <c r="M105" s="142">
        <v>0.0</v>
      </c>
      <c r="N105" s="143">
        <v>0.0</v>
      </c>
      <c r="O105" s="140">
        <v>0.0</v>
      </c>
      <c r="P105" s="140">
        <v>0.0</v>
      </c>
      <c r="Q105" s="140">
        <v>0.0</v>
      </c>
      <c r="R105" s="140">
        <v>0.0</v>
      </c>
      <c r="S105" s="140">
        <v>0.0</v>
      </c>
      <c r="T105" s="140">
        <v>0.0</v>
      </c>
      <c r="AK105" s="10"/>
    </row>
    <row r="106" ht="15.75" customHeight="1">
      <c r="B106" s="39" t="s">
        <v>176</v>
      </c>
      <c r="C106" s="39" t="s">
        <v>182</v>
      </c>
      <c r="D106" s="132">
        <f>100-(I106+E106+J106+N106)</f>
        <v>56.24</v>
      </c>
      <c r="E106" s="50">
        <v>3.78</v>
      </c>
      <c r="F106" s="50">
        <v>1.08</v>
      </c>
      <c r="G106" s="50">
        <v>0.06</v>
      </c>
      <c r="H106" s="50">
        <v>0.0</v>
      </c>
      <c r="I106" s="50">
        <v>3.52</v>
      </c>
      <c r="J106" s="50">
        <v>32.13</v>
      </c>
      <c r="K106" s="50">
        <v>8.49</v>
      </c>
      <c r="L106" s="123">
        <v>0.0</v>
      </c>
      <c r="M106" s="43">
        <v>19.11</v>
      </c>
      <c r="N106" s="56">
        <v>4.33</v>
      </c>
      <c r="O106" s="50">
        <v>16070.0</v>
      </c>
      <c r="P106" s="50">
        <v>0.0</v>
      </c>
      <c r="Q106" s="50">
        <v>0.0</v>
      </c>
      <c r="R106" s="50">
        <v>0.0</v>
      </c>
      <c r="S106" s="58">
        <v>0.0</v>
      </c>
      <c r="T106" s="58">
        <v>0.0</v>
      </c>
      <c r="U106" s="39">
        <v>40.19</v>
      </c>
      <c r="AK106" s="10"/>
    </row>
    <row r="107" ht="15.75" customHeight="1">
      <c r="B107" s="39" t="s">
        <v>176</v>
      </c>
      <c r="C107" s="39" t="s">
        <v>183</v>
      </c>
      <c r="D107" s="134">
        <f>100-(E107)</f>
        <v>2.13</v>
      </c>
      <c r="E107" s="43">
        <v>97.87</v>
      </c>
      <c r="F107" s="43">
        <v>16.22</v>
      </c>
      <c r="G107" s="43">
        <v>0.98</v>
      </c>
      <c r="H107" s="43">
        <v>0.0</v>
      </c>
      <c r="I107" s="43">
        <v>0.0</v>
      </c>
      <c r="J107" s="43">
        <v>0.0</v>
      </c>
      <c r="K107" s="43">
        <v>0.0</v>
      </c>
      <c r="L107" s="43">
        <v>0.0</v>
      </c>
      <c r="M107" s="43">
        <v>0.0</v>
      </c>
      <c r="N107" s="43">
        <v>0.0</v>
      </c>
      <c r="O107" s="43">
        <v>0.0</v>
      </c>
      <c r="P107" s="43">
        <v>0.0</v>
      </c>
      <c r="Q107" s="43">
        <v>0.0</v>
      </c>
      <c r="R107" s="43">
        <v>0.0</v>
      </c>
      <c r="S107" s="61">
        <v>0.0</v>
      </c>
      <c r="T107" s="61">
        <v>0.0</v>
      </c>
      <c r="AK107" s="10"/>
    </row>
    <row r="108" ht="15.75" customHeight="1">
      <c r="B108" s="39" t="s">
        <v>176</v>
      </c>
      <c r="C108" s="39" t="s">
        <v>184</v>
      </c>
      <c r="D108" s="64">
        <f>100-(I108+J108+E108)</f>
        <v>40.3</v>
      </c>
      <c r="E108" s="64">
        <v>2.8</v>
      </c>
      <c r="F108" s="64">
        <v>0.2</v>
      </c>
      <c r="G108" s="64">
        <v>0.0</v>
      </c>
      <c r="H108" s="64">
        <v>0.0</v>
      </c>
      <c r="I108" s="64">
        <v>10.2</v>
      </c>
      <c r="J108" s="64">
        <v>46.7</v>
      </c>
      <c r="K108" s="112">
        <v>3.1</v>
      </c>
      <c r="L108" s="113">
        <v>0.0</v>
      </c>
      <c r="M108" s="61">
        <v>0.0</v>
      </c>
      <c r="N108" s="114">
        <v>0.4</v>
      </c>
      <c r="O108" s="64">
        <v>7837.3</v>
      </c>
      <c r="P108" s="64">
        <v>1957.4</v>
      </c>
      <c r="Q108" s="64">
        <v>4.3</v>
      </c>
      <c r="R108" s="64">
        <v>0.0</v>
      </c>
      <c r="S108" s="58">
        <v>0.0</v>
      </c>
      <c r="T108" s="58">
        <v>0.0</v>
      </c>
      <c r="U108" s="129">
        <v>17.6</v>
      </c>
      <c r="Y108" s="39">
        <v>2.16</v>
      </c>
      <c r="Z108" s="39">
        <v>0.0056</v>
      </c>
      <c r="AB108" s="39">
        <v>1.8</v>
      </c>
      <c r="AJ108" s="39">
        <v>72.8</v>
      </c>
      <c r="AK108" s="10"/>
    </row>
    <row r="109" ht="15.75" customHeight="1">
      <c r="B109" s="39" t="s">
        <v>176</v>
      </c>
      <c r="C109" s="39" t="s">
        <v>185</v>
      </c>
      <c r="D109" s="112">
        <v>0.0</v>
      </c>
      <c r="E109" s="112">
        <v>0.0</v>
      </c>
      <c r="F109" s="112">
        <v>0.0</v>
      </c>
      <c r="G109" s="112">
        <v>0.0</v>
      </c>
      <c r="H109" s="112">
        <v>0.0</v>
      </c>
      <c r="I109" s="112">
        <v>7.5</v>
      </c>
      <c r="J109" s="112">
        <v>31.0</v>
      </c>
      <c r="K109" s="112">
        <v>2.4</v>
      </c>
      <c r="L109" s="121">
        <v>1.1</v>
      </c>
      <c r="M109" s="43">
        <v>0.0</v>
      </c>
      <c r="N109" s="122">
        <v>2.0</v>
      </c>
      <c r="O109" s="112">
        <v>20522.0</v>
      </c>
      <c r="P109" s="112">
        <v>71.0</v>
      </c>
      <c r="Q109" s="112">
        <v>1.3</v>
      </c>
      <c r="R109" s="112">
        <v>0.33</v>
      </c>
      <c r="S109" s="50">
        <v>4.5</v>
      </c>
      <c r="T109" s="50">
        <v>0.0</v>
      </c>
      <c r="U109" s="129">
        <v>43.03</v>
      </c>
      <c r="W109" s="118">
        <v>9.3</v>
      </c>
      <c r="X109" s="118">
        <v>2352.0</v>
      </c>
      <c r="Y109" s="39">
        <v>1.28</v>
      </c>
      <c r="AJ109" s="39">
        <v>13.4</v>
      </c>
      <c r="AK109" s="10"/>
    </row>
    <row r="110" ht="15.75" customHeight="1">
      <c r="B110" s="39" t="s">
        <v>176</v>
      </c>
      <c r="C110" s="39" t="s">
        <v>186</v>
      </c>
      <c r="D110" s="43">
        <v>0.0</v>
      </c>
      <c r="E110" s="43">
        <v>99.0</v>
      </c>
      <c r="F110" s="43">
        <v>13.86</v>
      </c>
      <c r="G110" s="43">
        <v>0.49</v>
      </c>
      <c r="H110" s="43">
        <v>0.0</v>
      </c>
      <c r="I110" s="43">
        <v>0.0</v>
      </c>
      <c r="J110" s="43">
        <v>0.0</v>
      </c>
      <c r="K110" s="43">
        <v>0.0</v>
      </c>
      <c r="L110" s="43">
        <v>0.0</v>
      </c>
      <c r="M110" s="43">
        <v>0.0</v>
      </c>
      <c r="N110" s="43">
        <v>0.0</v>
      </c>
      <c r="O110" s="43">
        <v>0.0</v>
      </c>
      <c r="P110" s="43">
        <v>0.0</v>
      </c>
      <c r="Q110" s="43">
        <v>0.0</v>
      </c>
      <c r="R110" s="43">
        <v>0.0</v>
      </c>
      <c r="S110" s="50">
        <v>0.0</v>
      </c>
      <c r="T110" s="123">
        <v>0.0</v>
      </c>
      <c r="U110" s="129"/>
      <c r="W110" s="118"/>
      <c r="AK110" s="10"/>
    </row>
    <row r="111" ht="15.75" customHeight="1">
      <c r="B111" s="39" t="s">
        <v>176</v>
      </c>
      <c r="C111" s="39" t="s">
        <v>187</v>
      </c>
      <c r="D111" s="43">
        <f>100-E111</f>
        <v>2.02</v>
      </c>
      <c r="E111" s="43">
        <v>97.98</v>
      </c>
      <c r="F111" s="43">
        <v>16.24</v>
      </c>
      <c r="G111" s="43">
        <v>1.02</v>
      </c>
      <c r="H111" s="43">
        <v>0.0</v>
      </c>
      <c r="I111" s="43">
        <v>0.0</v>
      </c>
      <c r="J111" s="43">
        <v>0.0</v>
      </c>
      <c r="K111" s="43">
        <v>0.0</v>
      </c>
      <c r="L111" s="43">
        <v>0.0</v>
      </c>
      <c r="M111" s="43">
        <v>0.0</v>
      </c>
      <c r="N111" s="43">
        <v>0.0</v>
      </c>
      <c r="O111" s="43">
        <v>0.0</v>
      </c>
      <c r="P111" s="43">
        <v>0.0</v>
      </c>
      <c r="Q111" s="43">
        <v>0.0</v>
      </c>
      <c r="R111" s="43">
        <v>0.0</v>
      </c>
      <c r="S111" s="50">
        <v>0.0</v>
      </c>
      <c r="T111" s="123">
        <v>0.0</v>
      </c>
      <c r="U111" s="129"/>
      <c r="W111" s="118"/>
      <c r="AK111" s="10" t="s">
        <v>60</v>
      </c>
    </row>
    <row r="112" ht="15.75" customHeight="1">
      <c r="B112" s="39" t="s">
        <v>176</v>
      </c>
      <c r="C112" s="39" t="s">
        <v>188</v>
      </c>
      <c r="D112" s="43">
        <v>44.56</v>
      </c>
      <c r="E112" s="43">
        <v>2.17</v>
      </c>
      <c r="F112" s="43">
        <v>1.7</v>
      </c>
      <c r="G112" s="43">
        <v>0.0</v>
      </c>
      <c r="H112" s="43">
        <v>0.0</v>
      </c>
      <c r="I112" s="43">
        <v>3.3</v>
      </c>
      <c r="J112" s="43">
        <v>47.73</v>
      </c>
      <c r="K112" s="43">
        <v>8.02</v>
      </c>
      <c r="L112" s="43">
        <v>0.0</v>
      </c>
      <c r="M112" s="43">
        <v>35.15</v>
      </c>
      <c r="N112" s="43">
        <v>2.24</v>
      </c>
      <c r="O112" s="43">
        <v>14840.0</v>
      </c>
      <c r="P112" s="43">
        <v>0.0</v>
      </c>
      <c r="Q112" s="43">
        <v>0.0</v>
      </c>
      <c r="R112" s="43">
        <v>0.0</v>
      </c>
      <c r="S112" s="50">
        <v>0.0</v>
      </c>
      <c r="T112" s="123">
        <v>0.0</v>
      </c>
      <c r="U112" s="129">
        <v>37.13</v>
      </c>
      <c r="W112" s="118"/>
      <c r="AK112" s="10"/>
    </row>
    <row r="113" ht="15.75" customHeight="1">
      <c r="B113" s="39" t="s">
        <v>176</v>
      </c>
      <c r="C113" s="39" t="s">
        <v>189</v>
      </c>
      <c r="D113" s="43">
        <v>1.42</v>
      </c>
      <c r="E113" s="43">
        <v>98.54</v>
      </c>
      <c r="F113" s="43">
        <v>17.19</v>
      </c>
      <c r="G113" s="43">
        <v>0.96</v>
      </c>
      <c r="H113" s="43">
        <v>0.0</v>
      </c>
      <c r="I113" s="43">
        <v>0.0</v>
      </c>
      <c r="J113" s="43">
        <v>0.04</v>
      </c>
      <c r="K113" s="43">
        <v>0.01</v>
      </c>
      <c r="L113" s="43">
        <v>0.0</v>
      </c>
      <c r="M113" s="43">
        <v>0.0</v>
      </c>
      <c r="N113" s="43">
        <v>0.01</v>
      </c>
      <c r="O113" s="43">
        <v>0.0</v>
      </c>
      <c r="P113" s="43">
        <v>0.0</v>
      </c>
      <c r="Q113" s="43">
        <v>0.0</v>
      </c>
      <c r="R113" s="43">
        <v>0.0</v>
      </c>
      <c r="S113" s="50">
        <v>0.0</v>
      </c>
      <c r="T113" s="123">
        <v>0.0</v>
      </c>
      <c r="U113" s="129"/>
      <c r="W113" s="118"/>
      <c r="AK113" s="10"/>
    </row>
    <row r="114" ht="15.75" customHeight="1">
      <c r="B114" s="39" t="s">
        <v>176</v>
      </c>
      <c r="C114" s="39" t="s">
        <v>190</v>
      </c>
      <c r="D114" s="43">
        <v>0.67</v>
      </c>
      <c r="E114" s="43">
        <v>95.134</v>
      </c>
      <c r="F114" s="43">
        <v>15.338</v>
      </c>
      <c r="G114" s="43">
        <v>0.88</v>
      </c>
      <c r="H114" s="43">
        <v>0.578</v>
      </c>
      <c r="I114" s="43">
        <v>0.007</v>
      </c>
      <c r="J114" s="43">
        <v>4.191</v>
      </c>
      <c r="K114" s="43">
        <v>0.016</v>
      </c>
      <c r="L114" s="43">
        <v>0.0</v>
      </c>
      <c r="M114" s="43">
        <v>0.0</v>
      </c>
      <c r="N114" s="43">
        <v>0.001</v>
      </c>
      <c r="O114" s="43">
        <v>0.1</v>
      </c>
      <c r="P114" s="43">
        <v>0.192</v>
      </c>
      <c r="Q114" s="43">
        <v>0.048</v>
      </c>
      <c r="R114" s="43">
        <v>0.0</v>
      </c>
      <c r="S114" s="50">
        <v>0.47</v>
      </c>
      <c r="T114" s="123">
        <v>0.0</v>
      </c>
      <c r="U114" s="129"/>
      <c r="W114" s="118"/>
      <c r="AK114" s="10"/>
    </row>
    <row r="115" ht="15.75" customHeight="1">
      <c r="B115" s="39" t="s">
        <v>176</v>
      </c>
      <c r="C115" s="39" t="s">
        <v>191</v>
      </c>
      <c r="D115" s="43">
        <v>3.23</v>
      </c>
      <c r="E115" s="43">
        <v>3.09</v>
      </c>
      <c r="F115" s="43">
        <v>2.54</v>
      </c>
      <c r="G115" s="43">
        <v>0.06</v>
      </c>
      <c r="H115" s="43">
        <v>0.0</v>
      </c>
      <c r="I115" s="43">
        <v>1.5</v>
      </c>
      <c r="J115" s="43">
        <v>45.71</v>
      </c>
      <c r="K115" s="43">
        <v>3.37</v>
      </c>
      <c r="L115" s="43">
        <v>0.0</v>
      </c>
      <c r="M115" s="43">
        <v>38.81</v>
      </c>
      <c r="N115" s="43">
        <v>2.4</v>
      </c>
      <c r="O115" s="43">
        <v>15940.0</v>
      </c>
      <c r="P115" s="43">
        <v>0.0</v>
      </c>
      <c r="Q115" s="43">
        <v>0.0</v>
      </c>
      <c r="R115" s="43">
        <v>0.0</v>
      </c>
      <c r="S115" s="50">
        <v>0.0</v>
      </c>
      <c r="T115" s="123">
        <v>0.0</v>
      </c>
      <c r="U115" s="129">
        <v>39.86</v>
      </c>
      <c r="W115" s="118"/>
      <c r="AK115" s="10"/>
    </row>
    <row r="116" ht="15.75" customHeight="1">
      <c r="B116" s="39" t="s">
        <v>176</v>
      </c>
      <c r="C116" s="39" t="s">
        <v>192</v>
      </c>
      <c r="D116" s="43">
        <v>3.0</v>
      </c>
      <c r="E116" s="43">
        <v>4.8</v>
      </c>
      <c r="F116" s="43">
        <v>1.42</v>
      </c>
      <c r="G116" s="43">
        <v>0.08</v>
      </c>
      <c r="H116" s="43">
        <v>0.0</v>
      </c>
      <c r="I116" s="43">
        <v>5.96</v>
      </c>
      <c r="J116" s="43">
        <v>23.53</v>
      </c>
      <c r="K116" s="43">
        <v>10.47</v>
      </c>
      <c r="L116" s="43">
        <v>0.0</v>
      </c>
      <c r="M116" s="43">
        <v>2.11</v>
      </c>
      <c r="N116" s="43">
        <v>7.71</v>
      </c>
      <c r="O116" s="43">
        <v>18940.0</v>
      </c>
      <c r="P116" s="43">
        <v>0.0</v>
      </c>
      <c r="Q116" s="43">
        <v>0.0</v>
      </c>
      <c r="R116" s="43">
        <v>0.0</v>
      </c>
      <c r="S116" s="50">
        <v>0.0</v>
      </c>
      <c r="T116" s="123">
        <v>0.0</v>
      </c>
      <c r="U116" s="129">
        <v>47.37</v>
      </c>
      <c r="W116" s="118"/>
      <c r="AK116" s="10"/>
    </row>
    <row r="117" ht="15.75" customHeight="1">
      <c r="B117" s="39" t="s">
        <v>176</v>
      </c>
      <c r="C117" s="39" t="s">
        <v>193</v>
      </c>
      <c r="D117" s="43">
        <v>2.08</v>
      </c>
      <c r="E117" s="43">
        <v>97.92</v>
      </c>
      <c r="F117" s="43">
        <v>16.1</v>
      </c>
      <c r="G117" s="43">
        <v>1.0</v>
      </c>
      <c r="H117" s="43">
        <v>0.0</v>
      </c>
      <c r="I117" s="43">
        <v>0.0</v>
      </c>
      <c r="J117" s="43">
        <v>0.0</v>
      </c>
      <c r="K117" s="43">
        <v>0.0</v>
      </c>
      <c r="L117" s="43">
        <v>0.0</v>
      </c>
      <c r="M117" s="43">
        <v>0.0</v>
      </c>
      <c r="N117" s="43">
        <v>0.0</v>
      </c>
      <c r="O117" s="43">
        <v>0.0</v>
      </c>
      <c r="P117" s="43">
        <v>0.0</v>
      </c>
      <c r="Q117" s="43">
        <v>0.0</v>
      </c>
      <c r="R117" s="43">
        <v>0.0</v>
      </c>
      <c r="S117" s="50">
        <v>0.0</v>
      </c>
      <c r="T117" s="123">
        <v>0.0</v>
      </c>
      <c r="U117" s="129"/>
      <c r="W117" s="118"/>
      <c r="AK117" s="10"/>
    </row>
    <row r="118" ht="15.75" customHeight="1">
      <c r="B118" s="39" t="s">
        <v>176</v>
      </c>
      <c r="C118" s="39" t="s">
        <v>194</v>
      </c>
      <c r="D118" s="43">
        <v>20.0</v>
      </c>
      <c r="E118" s="43">
        <v>3.2</v>
      </c>
      <c r="F118" s="43">
        <v>0.7</v>
      </c>
      <c r="G118" s="43">
        <v>0.0</v>
      </c>
      <c r="H118" s="43">
        <v>0.0</v>
      </c>
      <c r="I118" s="43">
        <v>10.0</v>
      </c>
      <c r="J118" s="43">
        <v>39.0</v>
      </c>
      <c r="K118" s="43">
        <v>1.2</v>
      </c>
      <c r="L118" s="43">
        <v>0.0</v>
      </c>
      <c r="M118" s="43">
        <v>0.0</v>
      </c>
      <c r="N118" s="43">
        <v>2.7</v>
      </c>
      <c r="O118" s="43">
        <v>10700.0</v>
      </c>
      <c r="P118" s="43">
        <v>566.0</v>
      </c>
      <c r="Q118" s="43">
        <v>7.4</v>
      </c>
      <c r="R118" s="43">
        <v>1.0</v>
      </c>
      <c r="S118" s="50">
        <v>22.0</v>
      </c>
      <c r="T118" s="123">
        <v>0.0</v>
      </c>
      <c r="U118" s="129">
        <v>24.1</v>
      </c>
      <c r="W118" s="118"/>
      <c r="Y118" s="39">
        <v>2.1</v>
      </c>
      <c r="Z118" s="39">
        <v>0.0055</v>
      </c>
      <c r="AB118" s="39">
        <v>1.76</v>
      </c>
      <c r="AE118" s="39">
        <v>6.7</v>
      </c>
      <c r="AK118" s="10" t="s">
        <v>60</v>
      </c>
    </row>
    <row r="119" ht="15.75" customHeight="1">
      <c r="B119" s="39" t="s">
        <v>176</v>
      </c>
      <c r="C119" s="39" t="s">
        <v>195</v>
      </c>
      <c r="D119" s="43">
        <v>3.9</v>
      </c>
      <c r="E119" s="43">
        <v>95.5</v>
      </c>
      <c r="F119" s="43">
        <v>15.3</v>
      </c>
      <c r="G119" s="43">
        <v>8.1</v>
      </c>
      <c r="H119" s="43">
        <v>0.0</v>
      </c>
      <c r="I119" s="43">
        <v>0.1</v>
      </c>
      <c r="J119" s="43">
        <v>0.5</v>
      </c>
      <c r="K119" s="43">
        <v>0.1</v>
      </c>
      <c r="L119" s="43">
        <v>0.0</v>
      </c>
      <c r="M119" s="43">
        <v>0.0</v>
      </c>
      <c r="N119" s="43">
        <v>0.1</v>
      </c>
      <c r="O119" s="43">
        <v>5.0</v>
      </c>
      <c r="P119" s="43">
        <v>1.0</v>
      </c>
      <c r="Q119" s="43">
        <v>1.0</v>
      </c>
      <c r="R119" s="43">
        <v>0.0</v>
      </c>
      <c r="S119" s="50">
        <v>0.15</v>
      </c>
      <c r="T119" s="123">
        <v>0.0</v>
      </c>
      <c r="U119" s="129"/>
      <c r="W119" s="118"/>
      <c r="AK119" s="10"/>
    </row>
    <row r="120" ht="15.75" customHeight="1">
      <c r="B120" s="39" t="s">
        <v>176</v>
      </c>
      <c r="C120" s="39" t="s">
        <v>214</v>
      </c>
      <c r="D120" s="43">
        <f>100-(E120+I120+J120+U120+W120+Y120)</f>
        <v>6.08</v>
      </c>
      <c r="E120" s="43">
        <v>1.1</v>
      </c>
      <c r="F120" s="43">
        <v>0.5</v>
      </c>
      <c r="G120" s="43">
        <v>0.0</v>
      </c>
      <c r="H120" s="43">
        <v>0.0</v>
      </c>
      <c r="I120" s="43">
        <v>5.9</v>
      </c>
      <c r="J120" s="43">
        <v>33.0</v>
      </c>
      <c r="K120" s="43">
        <v>14.0</v>
      </c>
      <c r="L120" s="43">
        <v>11.0</v>
      </c>
      <c r="M120" s="43">
        <v>0.0</v>
      </c>
      <c r="N120" s="43">
        <v>1.5</v>
      </c>
      <c r="O120" s="43">
        <v>18558.0</v>
      </c>
      <c r="P120" s="43">
        <v>350.0</v>
      </c>
      <c r="Q120" s="43">
        <v>0.7</v>
      </c>
      <c r="R120" s="43">
        <v>0.28</v>
      </c>
      <c r="S120" s="50">
        <v>0.0</v>
      </c>
      <c r="T120" s="123">
        <v>0.0</v>
      </c>
      <c r="U120" s="129">
        <v>29.92</v>
      </c>
      <c r="W120" s="118">
        <v>20.0</v>
      </c>
      <c r="X120" s="118">
        <v>5000.0</v>
      </c>
      <c r="Y120" s="39">
        <v>4.0</v>
      </c>
      <c r="AJ120" s="39">
        <v>29.4</v>
      </c>
      <c r="AK120" s="10"/>
    </row>
    <row r="121" ht="15.75" customHeight="1">
      <c r="B121" s="39" t="s">
        <v>176</v>
      </c>
      <c r="C121" s="39" t="s">
        <v>197</v>
      </c>
      <c r="D121" s="43">
        <v>0.0</v>
      </c>
      <c r="E121" s="43">
        <v>0.0</v>
      </c>
      <c r="F121" s="43">
        <v>0.0</v>
      </c>
      <c r="G121" s="43">
        <v>0.0</v>
      </c>
      <c r="H121" s="43">
        <v>0.0</v>
      </c>
      <c r="I121" s="43">
        <v>0.0</v>
      </c>
      <c r="J121" s="43">
        <v>0.0</v>
      </c>
      <c r="K121" s="43">
        <v>0.0</v>
      </c>
      <c r="L121" s="43">
        <v>0.0</v>
      </c>
      <c r="M121" s="43">
        <v>0.0</v>
      </c>
      <c r="N121" s="43">
        <v>0.0</v>
      </c>
      <c r="O121" s="43">
        <v>0.0</v>
      </c>
      <c r="P121" s="43">
        <v>0.0</v>
      </c>
      <c r="Q121" s="43">
        <v>0.0</v>
      </c>
      <c r="R121" s="43">
        <v>0.0</v>
      </c>
      <c r="S121" s="50">
        <v>0.0</v>
      </c>
      <c r="T121" s="123">
        <v>0.0</v>
      </c>
      <c r="U121" s="129"/>
      <c r="W121" s="118"/>
      <c r="X121" s="118"/>
      <c r="AK121" s="10"/>
    </row>
    <row r="122" ht="15.75" customHeight="1">
      <c r="B122" s="39" t="s">
        <v>176</v>
      </c>
      <c r="C122" s="39" t="s">
        <v>198</v>
      </c>
      <c r="D122" s="43">
        <v>7.77</v>
      </c>
      <c r="E122" s="43">
        <v>0.08</v>
      </c>
      <c r="F122" s="43">
        <v>0.08</v>
      </c>
      <c r="G122" s="43">
        <v>0.0</v>
      </c>
      <c r="H122" s="43">
        <v>0.0</v>
      </c>
      <c r="I122" s="43">
        <v>0.01</v>
      </c>
      <c r="J122" s="43">
        <v>41.08</v>
      </c>
      <c r="K122" s="43">
        <v>0.62</v>
      </c>
      <c r="L122" s="43">
        <v>0.0</v>
      </c>
      <c r="M122" s="43">
        <v>40.45</v>
      </c>
      <c r="N122" s="43">
        <v>0.35</v>
      </c>
      <c r="O122" s="43">
        <v>19840.0</v>
      </c>
      <c r="P122" s="43">
        <v>0.0</v>
      </c>
      <c r="Q122" s="43">
        <v>0.0</v>
      </c>
      <c r="R122" s="43">
        <v>0.0</v>
      </c>
      <c r="S122" s="50">
        <v>0.0</v>
      </c>
      <c r="T122" s="123">
        <v>0.0</v>
      </c>
      <c r="U122" s="129">
        <v>49.63</v>
      </c>
      <c r="W122" s="118"/>
      <c r="X122" s="118"/>
      <c r="AK122" s="10"/>
    </row>
    <row r="123" ht="15.75" customHeight="1">
      <c r="B123" s="39" t="s">
        <v>176</v>
      </c>
      <c r="C123" s="39" t="s">
        <v>199</v>
      </c>
      <c r="D123" s="53">
        <v>41.53</v>
      </c>
      <c r="E123" s="53">
        <v>4.924</v>
      </c>
      <c r="F123" s="53">
        <v>0.4146</v>
      </c>
      <c r="G123" s="53">
        <v>0.009305</v>
      </c>
      <c r="H123" s="53">
        <v>0.0562</v>
      </c>
      <c r="I123" s="53">
        <v>8.5604</v>
      </c>
      <c r="J123" s="53">
        <v>44.9624</v>
      </c>
      <c r="K123" s="53">
        <v>17.5917</v>
      </c>
      <c r="L123" s="53">
        <v>6.2502</v>
      </c>
      <c r="M123" s="53">
        <v>0.0</v>
      </c>
      <c r="N123" s="53">
        <v>7.7431</v>
      </c>
      <c r="O123" s="53">
        <v>12250.353</v>
      </c>
      <c r="P123" s="53">
        <v>215.7405</v>
      </c>
      <c r="Q123" s="53">
        <v>10.0157</v>
      </c>
      <c r="R123" s="53">
        <v>1.3738</v>
      </c>
      <c r="S123" s="49">
        <v>564.394</v>
      </c>
      <c r="T123" s="144">
        <v>0.092</v>
      </c>
      <c r="U123" s="129">
        <v>31.5</v>
      </c>
      <c r="W123" s="118"/>
      <c r="X123" s="118"/>
      <c r="AK123" s="10" t="s">
        <v>200</v>
      </c>
    </row>
    <row r="124" ht="15.75" customHeight="1">
      <c r="B124" s="39" t="s">
        <v>176</v>
      </c>
      <c r="C124" s="39" t="s">
        <v>201</v>
      </c>
      <c r="D124" s="98">
        <v>0.831</v>
      </c>
      <c r="E124" s="98">
        <v>99.1655</v>
      </c>
      <c r="F124" s="98">
        <v>16.9028</v>
      </c>
      <c r="G124" s="98">
        <v>0.5324539</v>
      </c>
      <c r="H124" s="98">
        <v>0.2858</v>
      </c>
      <c r="I124" s="98">
        <v>0.001</v>
      </c>
      <c r="J124" s="98">
        <v>0.0017</v>
      </c>
      <c r="K124" s="98">
        <v>0.0</v>
      </c>
      <c r="L124" s="98">
        <v>0.0</v>
      </c>
      <c r="M124" s="98">
        <v>0.0</v>
      </c>
      <c r="N124" s="98">
        <v>0.0</v>
      </c>
      <c r="O124" s="98">
        <v>0.5278</v>
      </c>
      <c r="P124" s="98">
        <v>0.0024</v>
      </c>
      <c r="Q124" s="98">
        <v>0.0012</v>
      </c>
      <c r="R124" s="98">
        <v>0.0</v>
      </c>
      <c r="S124" s="145">
        <v>0.6488</v>
      </c>
      <c r="T124" s="144">
        <v>0.0</v>
      </c>
      <c r="U124" s="129"/>
      <c r="W124" s="118"/>
      <c r="X124" s="118"/>
      <c r="AK124" s="10"/>
    </row>
    <row r="125" ht="15.75" customHeight="1">
      <c r="B125" s="39" t="s">
        <v>176</v>
      </c>
      <c r="C125" s="39" t="s">
        <v>202</v>
      </c>
      <c r="D125" s="98">
        <v>12.9</v>
      </c>
      <c r="E125" s="98">
        <v>0.8</v>
      </c>
      <c r="F125" s="98">
        <v>0.0</v>
      </c>
      <c r="G125" s="98">
        <v>0.0</v>
      </c>
      <c r="H125" s="98">
        <v>0.0</v>
      </c>
      <c r="I125" s="98">
        <v>9.9</v>
      </c>
      <c r="J125" s="98">
        <v>45.0</v>
      </c>
      <c r="K125" s="98">
        <v>1.7</v>
      </c>
      <c r="L125" s="98">
        <v>1.7</v>
      </c>
      <c r="M125" s="98">
        <v>0.0</v>
      </c>
      <c r="N125" s="98">
        <v>2.9</v>
      </c>
      <c r="O125" s="99">
        <v>11700.0</v>
      </c>
      <c r="P125" s="98">
        <v>94.0</v>
      </c>
      <c r="Q125" s="98">
        <v>2.4</v>
      </c>
      <c r="R125" s="98">
        <v>1.7</v>
      </c>
      <c r="S125" s="145">
        <v>7.1</v>
      </c>
      <c r="T125" s="144">
        <v>0.12</v>
      </c>
      <c r="U125" s="129">
        <v>17.7</v>
      </c>
      <c r="W125" s="118">
        <v>13.7</v>
      </c>
      <c r="X125" s="118">
        <v>5973.0</v>
      </c>
      <c r="AJ125" s="39">
        <v>15.48</v>
      </c>
      <c r="AK125" s="10" t="s">
        <v>167</v>
      </c>
    </row>
    <row r="126" ht="15.75" customHeight="1">
      <c r="B126" s="39" t="s">
        <v>176</v>
      </c>
      <c r="C126" s="39" t="s">
        <v>203</v>
      </c>
      <c r="D126" s="43">
        <v>4.5</v>
      </c>
      <c r="E126" s="43">
        <v>18.0</v>
      </c>
      <c r="F126" s="43">
        <v>1.78</v>
      </c>
      <c r="G126" s="43">
        <v>0.0</v>
      </c>
      <c r="H126" s="43">
        <v>0.0</v>
      </c>
      <c r="I126" s="43">
        <v>0.0</v>
      </c>
      <c r="J126" s="43">
        <v>72.0</v>
      </c>
      <c r="K126" s="43">
        <v>2.0</v>
      </c>
      <c r="L126" s="43">
        <v>0.0</v>
      </c>
      <c r="M126" s="43">
        <v>10.0</v>
      </c>
      <c r="N126" s="43">
        <v>0.0</v>
      </c>
      <c r="O126" s="43">
        <v>45.0</v>
      </c>
      <c r="P126" s="43">
        <v>8.35</v>
      </c>
      <c r="Q126" s="43">
        <v>0.0</v>
      </c>
      <c r="R126" s="43">
        <v>0.0</v>
      </c>
      <c r="S126" s="50">
        <v>0.0</v>
      </c>
      <c r="T126" s="123">
        <v>0.0</v>
      </c>
      <c r="U126" s="129"/>
      <c r="W126" s="118"/>
      <c r="X126" s="118">
        <v>4.18</v>
      </c>
      <c r="AK126" s="10"/>
    </row>
    <row r="127" ht="15.75" customHeight="1">
      <c r="B127" s="39" t="s">
        <v>176</v>
      </c>
      <c r="C127" s="39" t="s">
        <v>204</v>
      </c>
      <c r="D127" s="43">
        <v>6.0</v>
      </c>
      <c r="E127" s="43">
        <v>0.0</v>
      </c>
      <c r="F127" s="43">
        <v>0.0</v>
      </c>
      <c r="G127" s="43">
        <v>0.0</v>
      </c>
      <c r="H127" s="43">
        <v>0.0</v>
      </c>
      <c r="I127" s="43">
        <v>0.0</v>
      </c>
      <c r="J127" s="43">
        <v>69.0</v>
      </c>
      <c r="K127" s="43">
        <v>3.0</v>
      </c>
      <c r="L127" s="43">
        <v>0.0</v>
      </c>
      <c r="M127" s="43">
        <v>0.0</v>
      </c>
      <c r="N127" s="43">
        <v>0.0</v>
      </c>
      <c r="O127" s="43">
        <v>65.0</v>
      </c>
      <c r="P127" s="43">
        <v>11.6</v>
      </c>
      <c r="Q127" s="43">
        <v>0.0</v>
      </c>
      <c r="R127" s="43">
        <v>0.0</v>
      </c>
      <c r="S127" s="50">
        <v>0.0</v>
      </c>
      <c r="T127" s="123">
        <v>0.0</v>
      </c>
      <c r="U127" s="129"/>
      <c r="W127" s="118"/>
      <c r="X127" s="118">
        <v>5.8</v>
      </c>
      <c r="AK127" s="10"/>
    </row>
    <row r="128" ht="15.75" customHeight="1">
      <c r="B128" s="39" t="s">
        <v>176</v>
      </c>
      <c r="C128" s="39" t="s">
        <v>205</v>
      </c>
      <c r="D128" s="43">
        <v>13.38</v>
      </c>
      <c r="E128" s="43">
        <v>1.39</v>
      </c>
      <c r="F128" s="43">
        <v>1.32</v>
      </c>
      <c r="G128" s="43">
        <v>0.0</v>
      </c>
      <c r="H128" s="43">
        <v>0.0</v>
      </c>
      <c r="I128" s="43">
        <v>3.74</v>
      </c>
      <c r="J128" s="43">
        <v>37.64</v>
      </c>
      <c r="K128" s="43">
        <v>6.42</v>
      </c>
      <c r="L128" s="43">
        <v>0.0</v>
      </c>
      <c r="M128" s="43">
        <v>0.0</v>
      </c>
      <c r="N128" s="43">
        <v>4.88</v>
      </c>
      <c r="O128" s="43">
        <v>17530.0</v>
      </c>
      <c r="P128" s="43">
        <v>0.0</v>
      </c>
      <c r="Q128" s="43">
        <v>0.0</v>
      </c>
      <c r="R128" s="43">
        <v>0.0</v>
      </c>
      <c r="S128" s="50">
        <v>0.0</v>
      </c>
      <c r="T128" s="123">
        <v>0.0</v>
      </c>
      <c r="U128" s="129">
        <v>43.85</v>
      </c>
      <c r="W128" s="118"/>
      <c r="X128" s="118"/>
      <c r="AK128" s="10"/>
    </row>
    <row r="129" ht="15.75" customHeight="1">
      <c r="B129" s="39" t="s">
        <v>176</v>
      </c>
      <c r="C129" s="39" t="s">
        <v>206</v>
      </c>
      <c r="D129" s="43">
        <v>3.0</v>
      </c>
      <c r="E129" s="43">
        <v>25.0</v>
      </c>
      <c r="F129" s="43">
        <v>1.9</v>
      </c>
      <c r="G129" s="43">
        <v>0.0</v>
      </c>
      <c r="H129" s="43">
        <v>0.0</v>
      </c>
      <c r="I129" s="43">
        <v>0.0</v>
      </c>
      <c r="J129" s="43">
        <v>0.0</v>
      </c>
      <c r="K129" s="43">
        <v>0.0</v>
      </c>
      <c r="L129" s="43">
        <v>0.0</v>
      </c>
      <c r="M129" s="43">
        <v>0.0</v>
      </c>
      <c r="N129" s="43">
        <v>0.0</v>
      </c>
      <c r="O129" s="43">
        <v>0.0</v>
      </c>
      <c r="P129" s="43">
        <v>0.0</v>
      </c>
      <c r="Q129" s="43">
        <v>0.0</v>
      </c>
      <c r="R129" s="43">
        <v>0.0</v>
      </c>
      <c r="S129" s="50">
        <v>0.0</v>
      </c>
      <c r="T129" s="123">
        <v>0.0</v>
      </c>
      <c r="U129" s="129"/>
      <c r="W129" s="118"/>
      <c r="X129" s="118"/>
      <c r="AK129" s="10"/>
    </row>
    <row r="130" ht="15.75" customHeight="1">
      <c r="D130" s="43"/>
      <c r="E130" s="43"/>
      <c r="F130" s="43"/>
      <c r="G130" s="43"/>
      <c r="H130" s="43"/>
      <c r="I130" s="43"/>
      <c r="J130" s="43"/>
      <c r="K130" s="43"/>
      <c r="L130" s="43"/>
      <c r="M130" s="43"/>
      <c r="N130" s="43"/>
      <c r="O130" s="43"/>
      <c r="P130" s="43"/>
      <c r="Q130" s="43"/>
      <c r="R130" s="43"/>
      <c r="S130" s="50"/>
      <c r="T130" s="123"/>
      <c r="U130" s="129"/>
      <c r="W130" s="118"/>
      <c r="X130" s="118"/>
      <c r="AK130" s="10"/>
    </row>
    <row r="131" ht="15.75" customHeight="1">
      <c r="B131" s="39" t="s">
        <v>207</v>
      </c>
      <c r="C131" s="39" t="s">
        <v>208</v>
      </c>
      <c r="D131" s="43">
        <v>0.0</v>
      </c>
      <c r="E131" s="43">
        <v>0.0</v>
      </c>
      <c r="F131" s="43">
        <v>0.0</v>
      </c>
      <c r="G131" s="43">
        <v>0.0</v>
      </c>
      <c r="H131" s="43">
        <v>0.0</v>
      </c>
      <c r="I131" s="43">
        <v>1.4</v>
      </c>
      <c r="J131" s="43">
        <v>7.8</v>
      </c>
      <c r="K131" s="43">
        <v>0.0</v>
      </c>
      <c r="L131" s="43">
        <v>0.0</v>
      </c>
      <c r="M131" s="43">
        <v>0.0</v>
      </c>
      <c r="N131" s="43">
        <v>0.0</v>
      </c>
      <c r="O131" s="43">
        <v>0.0</v>
      </c>
      <c r="P131" s="43">
        <v>0.0</v>
      </c>
      <c r="Q131" s="43">
        <v>0.0</v>
      </c>
      <c r="R131" s="43">
        <v>0.0</v>
      </c>
      <c r="S131" s="50">
        <v>0.0</v>
      </c>
      <c r="T131" s="123">
        <v>0.0</v>
      </c>
      <c r="AA131" s="39">
        <v>0.11</v>
      </c>
      <c r="AK131" s="10"/>
    </row>
    <row r="132" ht="15.75" customHeight="1">
      <c r="B132" s="39" t="s">
        <v>207</v>
      </c>
      <c r="C132" s="39" t="s">
        <v>209</v>
      </c>
      <c r="D132" s="64">
        <v>43.0</v>
      </c>
      <c r="E132" s="64">
        <v>0.08</v>
      </c>
      <c r="F132" s="64">
        <v>0.0</v>
      </c>
      <c r="G132" s="64">
        <v>0.0</v>
      </c>
      <c r="H132" s="64">
        <v>0.0</v>
      </c>
      <c r="I132" s="64">
        <v>1.1</v>
      </c>
      <c r="J132" s="64">
        <v>3.1</v>
      </c>
      <c r="K132" s="64">
        <v>3.1</v>
      </c>
      <c r="L132" s="113">
        <v>0.0</v>
      </c>
      <c r="M132" s="61">
        <v>0.0</v>
      </c>
      <c r="N132" s="114">
        <v>0.04</v>
      </c>
      <c r="O132" s="64">
        <v>0.0</v>
      </c>
      <c r="P132" s="64">
        <v>0.01</v>
      </c>
      <c r="Q132" s="64">
        <v>0.0</v>
      </c>
      <c r="R132" s="64">
        <v>0.0</v>
      </c>
      <c r="S132" s="58">
        <v>0.0</v>
      </c>
      <c r="T132" s="58">
        <v>0.0</v>
      </c>
      <c r="AA132" s="39">
        <v>6.3</v>
      </c>
      <c r="AK132" s="10"/>
    </row>
    <row r="133" ht="15.75" customHeight="1">
      <c r="B133" s="39" t="s">
        <v>207</v>
      </c>
      <c r="C133" s="39" t="s">
        <v>210</v>
      </c>
      <c r="D133" s="69">
        <v>2.269999999999996</v>
      </c>
      <c r="E133" s="64">
        <v>96.3</v>
      </c>
      <c r="F133" s="64">
        <v>21.8</v>
      </c>
      <c r="G133" s="64">
        <v>0.15</v>
      </c>
      <c r="H133" s="64">
        <v>5.3</v>
      </c>
      <c r="I133" s="64">
        <v>1.43</v>
      </c>
      <c r="J133" s="64">
        <v>2.27</v>
      </c>
      <c r="K133" s="112">
        <v>0.0</v>
      </c>
      <c r="L133" s="113">
        <v>0.0</v>
      </c>
      <c r="M133" s="61">
        <v>0.0</v>
      </c>
      <c r="N133" s="114">
        <v>0.0</v>
      </c>
      <c r="O133" s="64">
        <v>0.0</v>
      </c>
      <c r="P133" s="64">
        <v>22.0</v>
      </c>
      <c r="Q133" s="64">
        <v>8.1</v>
      </c>
      <c r="R133" s="64">
        <v>0.0</v>
      </c>
      <c r="S133" s="58">
        <v>0.0</v>
      </c>
      <c r="T133" s="58">
        <v>0.0</v>
      </c>
      <c r="AK133" s="10"/>
    </row>
    <row r="134" ht="15.75" customHeight="1">
      <c r="B134" s="39" t="s">
        <v>207</v>
      </c>
      <c r="C134" s="39" t="s">
        <v>211</v>
      </c>
      <c r="D134" s="112">
        <v>71.0</v>
      </c>
      <c r="E134" s="112">
        <v>0.0</v>
      </c>
      <c r="F134" s="112">
        <v>0.0</v>
      </c>
      <c r="G134" s="112">
        <v>0.0</v>
      </c>
      <c r="H134" s="112">
        <v>0.0</v>
      </c>
      <c r="I134" s="112">
        <v>0.0</v>
      </c>
      <c r="J134" s="112">
        <v>29.0</v>
      </c>
      <c r="K134" s="112">
        <v>0.0</v>
      </c>
      <c r="L134" s="121">
        <v>0.0</v>
      </c>
      <c r="M134" s="43">
        <v>0.0</v>
      </c>
      <c r="N134" s="122">
        <v>0.0</v>
      </c>
      <c r="O134" s="112">
        <v>61.0</v>
      </c>
      <c r="P134" s="112">
        <v>0.0</v>
      </c>
      <c r="Q134" s="112">
        <v>0.0</v>
      </c>
      <c r="R134" s="112">
        <v>0.0</v>
      </c>
      <c r="S134" s="50">
        <v>0.0</v>
      </c>
      <c r="T134" s="50">
        <v>0.0</v>
      </c>
      <c r="AA134" s="39">
        <v>0.42</v>
      </c>
      <c r="AK134" s="10"/>
    </row>
    <row r="135" ht="15.75" customHeight="1">
      <c r="B135" s="39" t="s">
        <v>207</v>
      </c>
      <c r="C135" s="39" t="s">
        <v>212</v>
      </c>
      <c r="D135" s="39">
        <v>58.8</v>
      </c>
      <c r="E135" s="61">
        <v>1.2</v>
      </c>
      <c r="F135" s="61">
        <v>0.3</v>
      </c>
      <c r="G135" s="61">
        <v>0.0</v>
      </c>
      <c r="H135" s="61">
        <v>0.0</v>
      </c>
      <c r="I135" s="61">
        <v>0.0</v>
      </c>
      <c r="J135" s="61">
        <v>40.0</v>
      </c>
      <c r="K135" s="43">
        <v>0.0</v>
      </c>
      <c r="L135" s="61">
        <v>0.0</v>
      </c>
      <c r="M135" s="61">
        <v>0.0</v>
      </c>
      <c r="N135" s="61">
        <v>0.0</v>
      </c>
      <c r="O135" s="61">
        <v>62.0</v>
      </c>
      <c r="P135" s="61">
        <v>0.0</v>
      </c>
      <c r="Q135" s="61">
        <v>0.0</v>
      </c>
      <c r="R135" s="146">
        <v>0.0</v>
      </c>
      <c r="S135" s="146">
        <v>0.0</v>
      </c>
      <c r="T135" s="95">
        <v>0.0</v>
      </c>
      <c r="AA135" s="39">
        <v>0.4</v>
      </c>
      <c r="AK135" s="10"/>
    </row>
    <row r="136" ht="15.75" customHeight="1">
      <c r="B136" s="39" t="s">
        <v>207</v>
      </c>
      <c r="C136" s="39" t="s">
        <v>213</v>
      </c>
      <c r="D136" s="64">
        <f>100-(I136+J136)</f>
        <v>89.6</v>
      </c>
      <c r="E136" s="64">
        <v>0.0</v>
      </c>
      <c r="F136" s="64">
        <v>0.0</v>
      </c>
      <c r="G136" s="64">
        <v>0.0</v>
      </c>
      <c r="H136" s="64">
        <v>0.0</v>
      </c>
      <c r="I136" s="64">
        <v>3.8</v>
      </c>
      <c r="J136" s="64">
        <v>6.6</v>
      </c>
      <c r="K136" s="112">
        <v>0.0</v>
      </c>
      <c r="L136" s="113">
        <v>0.0</v>
      </c>
      <c r="M136" s="61">
        <v>0.0</v>
      </c>
      <c r="N136" s="114">
        <v>0.0</v>
      </c>
      <c r="O136" s="64">
        <v>8.0</v>
      </c>
      <c r="P136" s="64">
        <v>0.0</v>
      </c>
      <c r="Q136" s="64">
        <v>0.0</v>
      </c>
      <c r="R136" s="64">
        <v>0.0</v>
      </c>
      <c r="S136" s="58">
        <v>0.0</v>
      </c>
      <c r="T136" s="58">
        <v>0.0</v>
      </c>
      <c r="AA136" s="39">
        <v>0.2</v>
      </c>
      <c r="AK136" s="10"/>
    </row>
    <row r="137" ht="15.75" customHeight="1">
      <c r="B137" s="39" t="s">
        <v>207</v>
      </c>
      <c r="C137" s="39" t="s">
        <v>215</v>
      </c>
      <c r="D137" s="39">
        <v>6.0</v>
      </c>
      <c r="E137" s="61">
        <v>0.0</v>
      </c>
      <c r="F137" s="61">
        <v>0.0</v>
      </c>
      <c r="G137" s="61">
        <v>0.0</v>
      </c>
      <c r="H137" s="61">
        <v>0.0</v>
      </c>
      <c r="I137" s="61">
        <v>0.0</v>
      </c>
      <c r="J137" s="61">
        <v>25.0</v>
      </c>
      <c r="K137" s="43">
        <v>4.9</v>
      </c>
      <c r="L137" s="61">
        <v>4.9</v>
      </c>
      <c r="M137" s="61">
        <v>0.0</v>
      </c>
      <c r="N137" s="61">
        <v>0.0</v>
      </c>
      <c r="O137" s="61">
        <v>14.0</v>
      </c>
      <c r="P137" s="61">
        <v>3.7</v>
      </c>
      <c r="Q137" s="61">
        <v>0.0</v>
      </c>
      <c r="R137" s="146">
        <v>0.0</v>
      </c>
      <c r="S137" s="146">
        <v>0.0</v>
      </c>
      <c r="T137" s="95">
        <v>0.0</v>
      </c>
      <c r="AK137" s="10"/>
    </row>
    <row r="138" ht="15.75" customHeight="1">
      <c r="B138" s="39" t="s">
        <v>207</v>
      </c>
      <c r="C138" s="39" t="s">
        <v>216</v>
      </c>
      <c r="D138" s="39" t="s">
        <v>217</v>
      </c>
      <c r="E138" s="39" t="s">
        <v>217</v>
      </c>
      <c r="F138" s="61">
        <v>0.06</v>
      </c>
      <c r="G138" s="61">
        <v>0.0</v>
      </c>
      <c r="H138" s="61">
        <v>0.0</v>
      </c>
      <c r="I138" s="61">
        <v>0.0</v>
      </c>
      <c r="J138" s="61">
        <v>0.02</v>
      </c>
      <c r="K138" s="43">
        <v>0.02</v>
      </c>
      <c r="L138" s="61">
        <v>0.0</v>
      </c>
      <c r="M138" s="61">
        <v>0.0</v>
      </c>
      <c r="N138" s="61">
        <v>0.0</v>
      </c>
      <c r="O138" s="61">
        <v>100.0</v>
      </c>
      <c r="P138" s="61">
        <v>0.0</v>
      </c>
      <c r="Q138" s="61">
        <v>0.0</v>
      </c>
      <c r="R138" s="146">
        <v>0.0</v>
      </c>
      <c r="S138" s="146">
        <v>0.0</v>
      </c>
      <c r="T138" s="95">
        <v>0.0</v>
      </c>
      <c r="AA138" s="39">
        <v>0.1</v>
      </c>
      <c r="AK138" s="10"/>
    </row>
    <row r="139" ht="15.75" customHeight="1">
      <c r="C139" s="39" t="s">
        <v>218</v>
      </c>
      <c r="D139" s="147">
        <v>80.38647657416307</v>
      </c>
      <c r="E139" s="147">
        <v>11.30498087895458</v>
      </c>
      <c r="F139" s="147">
        <v>0.0</v>
      </c>
      <c r="G139" s="147">
        <v>0.0</v>
      </c>
      <c r="H139" s="147">
        <v>32.73382523159983</v>
      </c>
      <c r="I139" s="147">
        <v>6.0082023763267145</v>
      </c>
      <c r="J139" s="147">
        <v>6.883576351254628E-4</v>
      </c>
      <c r="K139" s="147">
        <v>0.0</v>
      </c>
      <c r="L139" s="147">
        <v>0.0</v>
      </c>
      <c r="M139" s="147">
        <v>0.0</v>
      </c>
      <c r="N139" s="147">
        <v>0.011013722162007404</v>
      </c>
      <c r="O139" s="147">
        <v>45.987337982371834</v>
      </c>
      <c r="P139" s="147">
        <v>8.099153356919365</v>
      </c>
      <c r="Q139" s="147">
        <v>0.337462115789689</v>
      </c>
      <c r="R139" s="147">
        <v>0.0</v>
      </c>
      <c r="S139" s="147">
        <v>0.0</v>
      </c>
      <c r="T139" s="147">
        <v>0.0</v>
      </c>
      <c r="AK139" s="10"/>
    </row>
    <row r="140" ht="15.75" customHeight="1">
      <c r="C140" s="39" t="s">
        <v>219</v>
      </c>
      <c r="D140" s="53">
        <v>46.1</v>
      </c>
      <c r="E140" s="53">
        <v>33.5</v>
      </c>
      <c r="F140" s="98">
        <v>0.0</v>
      </c>
      <c r="G140" s="98">
        <v>0.0</v>
      </c>
      <c r="H140" s="98">
        <v>97.0</v>
      </c>
      <c r="I140" s="53">
        <v>17.8</v>
      </c>
      <c r="J140" s="98">
        <v>0.0</v>
      </c>
      <c r="K140" s="99">
        <v>0.0</v>
      </c>
      <c r="L140" s="99">
        <v>0.0</v>
      </c>
      <c r="M140" s="99">
        <v>0.0</v>
      </c>
      <c r="N140" s="99">
        <v>0.0</v>
      </c>
      <c r="O140" s="99">
        <v>63.0</v>
      </c>
      <c r="P140" s="98">
        <v>18.0</v>
      </c>
      <c r="Q140" s="98">
        <v>1.0</v>
      </c>
      <c r="R140" s="98">
        <v>0.0</v>
      </c>
      <c r="S140" s="99">
        <v>0.0</v>
      </c>
      <c r="T140" s="98">
        <v>0.0</v>
      </c>
      <c r="AK140" s="10"/>
    </row>
    <row r="141" ht="15.75" customHeight="1">
      <c r="AK141" s="10"/>
    </row>
    <row r="142" ht="15.75" customHeight="1">
      <c r="AK142" s="10"/>
    </row>
    <row r="143" ht="15.75" customHeight="1">
      <c r="AK143" s="10"/>
    </row>
    <row r="144" ht="15.75" customHeight="1">
      <c r="AK144" s="10"/>
    </row>
    <row r="145" ht="15.75" customHeight="1">
      <c r="AK145" s="10"/>
    </row>
    <row r="146" ht="15.75" customHeight="1">
      <c r="AK146" s="10"/>
    </row>
    <row r="147" ht="15.75" customHeight="1">
      <c r="AK147" s="10"/>
    </row>
    <row r="148" ht="15.75" customHeight="1">
      <c r="AK148" s="10"/>
    </row>
    <row r="149" ht="15.75" customHeight="1">
      <c r="AK149" s="10"/>
    </row>
    <row r="150" ht="15.75" customHeight="1">
      <c r="AK150" s="10"/>
    </row>
    <row r="151" ht="15.75" customHeight="1">
      <c r="AK151" s="10"/>
    </row>
    <row r="152" ht="15.75" customHeight="1">
      <c r="AK152" s="10"/>
    </row>
    <row r="153" ht="15.75" customHeight="1">
      <c r="AK153" s="10"/>
    </row>
    <row r="154" ht="15.75" customHeight="1">
      <c r="AK154" s="10"/>
    </row>
    <row r="155" ht="15.75" customHeight="1">
      <c r="AK155" s="10"/>
    </row>
    <row r="156" ht="15.75" customHeight="1">
      <c r="AK156" s="10"/>
    </row>
    <row r="157" ht="15.75" customHeight="1">
      <c r="AK157" s="10"/>
    </row>
    <row r="158" ht="15.75" customHeight="1">
      <c r="AK158" s="10"/>
    </row>
    <row r="159" ht="15.75" customHeight="1">
      <c r="AK159" s="10"/>
    </row>
    <row r="160" ht="15.75" customHeight="1">
      <c r="AK160" s="10"/>
    </row>
    <row r="161" ht="15.75" customHeight="1">
      <c r="AK161" s="10"/>
    </row>
    <row r="162" ht="15.75" customHeight="1">
      <c r="AK162" s="10"/>
    </row>
    <row r="163" ht="15.75" customHeight="1">
      <c r="AK163" s="10"/>
    </row>
    <row r="164" ht="15.75" customHeight="1">
      <c r="AK164" s="10"/>
    </row>
    <row r="165" ht="15.75" customHeight="1">
      <c r="AK165" s="10"/>
    </row>
    <row r="166" ht="15.75" customHeight="1">
      <c r="AK166" s="10"/>
    </row>
    <row r="167" ht="15.75" customHeight="1">
      <c r="AK167" s="10"/>
    </row>
    <row r="168" ht="15.75" customHeight="1">
      <c r="AK168" s="10"/>
    </row>
    <row r="169" ht="15.75" customHeight="1">
      <c r="AK169" s="10"/>
    </row>
    <row r="170" ht="15.75" customHeight="1">
      <c r="AK170" s="10"/>
    </row>
    <row r="171" ht="15.75" customHeight="1">
      <c r="AK171" s="10"/>
    </row>
    <row r="172" ht="15.75" customHeight="1">
      <c r="AK172" s="10"/>
    </row>
    <row r="173" ht="15.75" customHeight="1">
      <c r="AK173" s="10"/>
    </row>
    <row r="174" ht="15.75" customHeight="1">
      <c r="AK174" s="10"/>
    </row>
    <row r="175" ht="15.75" customHeight="1">
      <c r="AK175" s="10"/>
    </row>
    <row r="176" ht="15.75" customHeight="1">
      <c r="AK176" s="10"/>
    </row>
    <row r="177" ht="15.75" customHeight="1">
      <c r="AK177" s="10"/>
    </row>
    <row r="178" ht="15.75" customHeight="1">
      <c r="AK178" s="10"/>
    </row>
    <row r="179" ht="15.75" customHeight="1">
      <c r="AK179" s="10"/>
    </row>
    <row r="180" ht="15.75" customHeight="1">
      <c r="AK180" s="10"/>
    </row>
    <row r="181" ht="15.75" customHeight="1">
      <c r="AK181" s="10"/>
    </row>
    <row r="182" ht="15.75" customHeight="1">
      <c r="AK182" s="10"/>
    </row>
    <row r="183" ht="15.75" customHeight="1">
      <c r="AK183" s="10"/>
    </row>
    <row r="184" ht="15.75" customHeight="1">
      <c r="AK184" s="10"/>
    </row>
    <row r="185" ht="15.75" customHeight="1">
      <c r="AK185" s="10"/>
    </row>
    <row r="186" ht="15.75" customHeight="1">
      <c r="AK186" s="10"/>
    </row>
    <row r="187" ht="15.75" customHeight="1">
      <c r="AK187" s="10"/>
    </row>
    <row r="188" ht="15.75" customHeight="1">
      <c r="AK188" s="10"/>
    </row>
    <row r="189" ht="15.75" customHeight="1">
      <c r="AK189" s="10"/>
    </row>
    <row r="190" ht="15.75" customHeight="1">
      <c r="AK190" s="10"/>
    </row>
    <row r="191" ht="15.75" customHeight="1">
      <c r="AK191" s="10"/>
    </row>
    <row r="192" ht="15.75" customHeight="1">
      <c r="AK192" s="10"/>
    </row>
    <row r="193" ht="15.75" customHeight="1">
      <c r="AK193" s="10"/>
    </row>
    <row r="194" ht="15.75" customHeight="1">
      <c r="AK194" s="10"/>
    </row>
    <row r="195" ht="15.75" customHeight="1">
      <c r="AK195" s="10"/>
    </row>
    <row r="196" ht="15.75" customHeight="1">
      <c r="AK196" s="10"/>
    </row>
    <row r="197" ht="15.75" customHeight="1">
      <c r="AK197" s="10"/>
    </row>
    <row r="198" ht="15.75" customHeight="1">
      <c r="AK198" s="10"/>
    </row>
    <row r="199" ht="15.75" customHeight="1">
      <c r="AK199" s="10"/>
    </row>
    <row r="200" ht="15.75" customHeight="1">
      <c r="AK200" s="10"/>
    </row>
    <row r="201" ht="15.75" customHeight="1">
      <c r="AK201" s="10"/>
    </row>
    <row r="202" ht="15.75" customHeight="1">
      <c r="AK202" s="10"/>
    </row>
    <row r="203" ht="15.75" customHeight="1">
      <c r="AK203" s="10"/>
    </row>
    <row r="204" ht="15.75" customHeight="1">
      <c r="AK204" s="10"/>
    </row>
    <row r="205" ht="15.75" customHeight="1">
      <c r="AK205" s="10"/>
    </row>
    <row r="206" ht="15.75" customHeight="1">
      <c r="AK206" s="10"/>
    </row>
    <row r="207" ht="15.75" customHeight="1">
      <c r="AK207" s="10"/>
    </row>
    <row r="208" ht="15.75" customHeight="1">
      <c r="AK208" s="10"/>
    </row>
    <row r="209" ht="15.75" customHeight="1">
      <c r="AK209" s="10"/>
    </row>
    <row r="210" ht="15.75" customHeight="1">
      <c r="AK210" s="10"/>
    </row>
    <row r="211" ht="15.75" customHeight="1">
      <c r="AK211" s="10"/>
    </row>
    <row r="212" ht="15.75" customHeight="1">
      <c r="AK212" s="10"/>
    </row>
    <row r="213" ht="15.75" customHeight="1">
      <c r="AK213" s="10"/>
    </row>
    <row r="214" ht="15.75" customHeight="1">
      <c r="AK214" s="10"/>
    </row>
    <row r="215" ht="15.75" customHeight="1">
      <c r="AK215" s="10"/>
    </row>
    <row r="216" ht="15.75" customHeight="1">
      <c r="AK216" s="10"/>
    </row>
    <row r="217" ht="15.75" customHeight="1">
      <c r="AK217" s="10"/>
    </row>
    <row r="218" ht="15.75" customHeight="1">
      <c r="AK218" s="10"/>
    </row>
    <row r="219" ht="15.75" customHeight="1">
      <c r="AK219" s="10"/>
    </row>
    <row r="220" ht="15.75" customHeight="1">
      <c r="AK220" s="10"/>
    </row>
    <row r="221" ht="15.75" customHeight="1">
      <c r="AK221" s="10"/>
    </row>
    <row r="222" ht="15.75" customHeight="1">
      <c r="AK222" s="10"/>
    </row>
    <row r="223" ht="15.75" customHeight="1">
      <c r="AK223" s="10"/>
    </row>
    <row r="224" ht="15.75" customHeight="1">
      <c r="AK224" s="10"/>
    </row>
    <row r="225" ht="15.75" customHeight="1">
      <c r="AK225" s="10"/>
    </row>
    <row r="226" ht="15.75" customHeight="1">
      <c r="AK226" s="10"/>
    </row>
    <row r="227" ht="15.75" customHeight="1">
      <c r="AK227" s="10"/>
    </row>
    <row r="228" ht="15.75" customHeight="1">
      <c r="AK228" s="10"/>
    </row>
    <row r="229" ht="15.75" customHeight="1">
      <c r="AK229" s="10"/>
    </row>
    <row r="230" ht="15.75" customHeight="1">
      <c r="AK230" s="10"/>
    </row>
    <row r="231" ht="15.75" customHeight="1">
      <c r="AK231" s="10"/>
    </row>
    <row r="232" ht="15.75" customHeight="1">
      <c r="AK232" s="10"/>
    </row>
    <row r="233" ht="15.75" customHeight="1">
      <c r="AK233" s="10"/>
    </row>
    <row r="234" ht="15.75" customHeight="1">
      <c r="AK234" s="10"/>
    </row>
    <row r="235" ht="15.75" customHeight="1">
      <c r="AK235" s="10"/>
    </row>
    <row r="236" ht="15.75" customHeight="1">
      <c r="AK236" s="10"/>
    </row>
    <row r="237" ht="15.75" customHeight="1">
      <c r="AK237" s="10"/>
    </row>
    <row r="238" ht="15.75" customHeight="1">
      <c r="AK238" s="10"/>
    </row>
    <row r="239" ht="15.75" customHeight="1">
      <c r="AK239" s="10"/>
    </row>
    <row r="240" ht="15.75" customHeight="1">
      <c r="AK240" s="10"/>
    </row>
    <row r="241" ht="15.75" customHeight="1">
      <c r="AK241" s="10"/>
    </row>
    <row r="242" ht="15.75" customHeight="1">
      <c r="AK242" s="10"/>
    </row>
    <row r="243" ht="15.75" customHeight="1">
      <c r="AK243" s="10"/>
    </row>
    <row r="244" ht="15.75" customHeight="1">
      <c r="AK244" s="10"/>
    </row>
    <row r="245" ht="15.75" customHeight="1">
      <c r="AK245" s="10"/>
    </row>
    <row r="246" ht="15.75" customHeight="1">
      <c r="AK246" s="10"/>
    </row>
    <row r="247" ht="15.75" customHeight="1">
      <c r="AK247" s="10"/>
    </row>
    <row r="248" ht="15.75" customHeight="1">
      <c r="AK248" s="10"/>
    </row>
    <row r="249" ht="15.75" customHeight="1">
      <c r="AK249" s="10"/>
    </row>
    <row r="250" ht="15.75" customHeight="1">
      <c r="AK250" s="10"/>
    </row>
    <row r="251" ht="15.75" customHeight="1">
      <c r="AK251" s="10"/>
    </row>
    <row r="252" ht="15.75" customHeight="1">
      <c r="AK252" s="10"/>
    </row>
    <row r="253" ht="15.75" customHeight="1">
      <c r="AK253" s="10"/>
    </row>
    <row r="254" ht="15.75" customHeight="1">
      <c r="AK254" s="10"/>
    </row>
    <row r="255" ht="15.75" customHeight="1">
      <c r="AK255" s="10"/>
    </row>
    <row r="256" ht="15.75" customHeight="1">
      <c r="AK256" s="10"/>
    </row>
    <row r="257" ht="15.75" customHeight="1">
      <c r="AK257" s="10"/>
    </row>
    <row r="258" ht="15.75" customHeight="1">
      <c r="AK258" s="10"/>
    </row>
    <row r="259" ht="15.75" customHeight="1">
      <c r="AK259" s="10"/>
    </row>
    <row r="260" ht="15.75" customHeight="1">
      <c r="AK260" s="10"/>
    </row>
    <row r="261" ht="15.75" customHeight="1">
      <c r="AK261" s="10"/>
    </row>
    <row r="262" ht="15.75" customHeight="1">
      <c r="AK262" s="10"/>
    </row>
    <row r="263" ht="15.75" customHeight="1">
      <c r="AK263" s="10"/>
    </row>
    <row r="264" ht="15.75" customHeight="1">
      <c r="AK264" s="10"/>
    </row>
    <row r="265" ht="15.75" customHeight="1">
      <c r="AK265" s="10"/>
    </row>
    <row r="266" ht="15.75" customHeight="1">
      <c r="AK266" s="10"/>
    </row>
    <row r="267" ht="15.75" customHeight="1">
      <c r="AK267" s="10"/>
    </row>
    <row r="268" ht="15.75" customHeight="1">
      <c r="AK268" s="10"/>
    </row>
    <row r="269" ht="15.75" customHeight="1">
      <c r="AK269" s="10"/>
    </row>
    <row r="270" ht="15.75" customHeight="1">
      <c r="AK270" s="10"/>
    </row>
    <row r="271" ht="15.75" customHeight="1">
      <c r="AK271" s="10"/>
    </row>
    <row r="272" ht="15.75" customHeight="1">
      <c r="AK272" s="10"/>
    </row>
    <row r="273" ht="15.75" customHeight="1">
      <c r="AK273" s="10"/>
    </row>
    <row r="274" ht="15.75" customHeight="1">
      <c r="AK274" s="10"/>
    </row>
    <row r="275" ht="15.75" customHeight="1">
      <c r="AK275" s="10"/>
    </row>
    <row r="276" ht="15.75" customHeight="1">
      <c r="AK276" s="10"/>
    </row>
    <row r="277" ht="15.75" customHeight="1">
      <c r="AK277" s="10"/>
    </row>
    <row r="278" ht="15.75" customHeight="1">
      <c r="AK278" s="10"/>
    </row>
    <row r="279" ht="15.75" customHeight="1">
      <c r="AK279" s="10"/>
    </row>
    <row r="280" ht="15.75" customHeight="1">
      <c r="AK280" s="10"/>
    </row>
    <row r="281" ht="15.75" customHeight="1">
      <c r="AK281" s="10"/>
    </row>
    <row r="282" ht="15.75" customHeight="1">
      <c r="AK282" s="10"/>
    </row>
    <row r="283" ht="15.75" customHeight="1">
      <c r="AK283" s="10"/>
    </row>
    <row r="284" ht="15.75" customHeight="1">
      <c r="AK284" s="10"/>
    </row>
    <row r="285" ht="15.75" customHeight="1">
      <c r="AK285" s="10"/>
    </row>
    <row r="286" ht="15.75" customHeight="1">
      <c r="AK286" s="10"/>
    </row>
    <row r="287" ht="15.75" customHeight="1">
      <c r="AK287" s="10"/>
    </row>
    <row r="288" ht="15.75" customHeight="1">
      <c r="AK288" s="10"/>
    </row>
    <row r="289" ht="15.75" customHeight="1">
      <c r="AK289" s="10"/>
    </row>
    <row r="290" ht="15.75" customHeight="1">
      <c r="AK290" s="10"/>
    </row>
    <row r="291" ht="15.75" customHeight="1">
      <c r="AK291" s="10"/>
    </row>
    <row r="292" ht="15.75" customHeight="1">
      <c r="AK292" s="10"/>
    </row>
    <row r="293" ht="15.75" customHeight="1">
      <c r="AK293" s="10"/>
    </row>
    <row r="294" ht="15.75" customHeight="1">
      <c r="AK294" s="10"/>
    </row>
    <row r="295" ht="15.75" customHeight="1">
      <c r="AK295" s="10"/>
    </row>
    <row r="296" ht="15.75" customHeight="1">
      <c r="AK296" s="10"/>
    </row>
    <row r="297" ht="15.75" customHeight="1">
      <c r="AK297" s="10"/>
    </row>
    <row r="298" ht="15.75" customHeight="1">
      <c r="AK298" s="10"/>
    </row>
    <row r="299" ht="15.75" customHeight="1">
      <c r="AK299" s="10"/>
    </row>
    <row r="300" ht="15.75" customHeight="1">
      <c r="AK300" s="10"/>
    </row>
    <row r="301" ht="15.75" customHeight="1">
      <c r="AK301" s="10"/>
    </row>
    <row r="302" ht="15.75" customHeight="1">
      <c r="AK302" s="10"/>
    </row>
    <row r="303" ht="15.75" customHeight="1">
      <c r="AK303" s="10"/>
    </row>
    <row r="304" ht="15.75" customHeight="1">
      <c r="AK304" s="10"/>
    </row>
    <row r="305" ht="15.75" customHeight="1">
      <c r="AK305" s="10"/>
    </row>
    <row r="306" ht="15.75" customHeight="1">
      <c r="AK306" s="10"/>
    </row>
    <row r="307" ht="15.75" customHeight="1">
      <c r="AK307" s="10"/>
    </row>
    <row r="308" ht="15.75" customHeight="1">
      <c r="AK308" s="10"/>
    </row>
    <row r="309" ht="15.75" customHeight="1">
      <c r="AK309" s="10"/>
    </row>
    <row r="310" ht="15.75" customHeight="1">
      <c r="AK310" s="10"/>
    </row>
    <row r="311" ht="15.75" customHeight="1">
      <c r="AK311" s="10"/>
    </row>
    <row r="312" ht="15.75" customHeight="1">
      <c r="AK312" s="10"/>
    </row>
    <row r="313" ht="15.75" customHeight="1">
      <c r="AK313" s="10"/>
    </row>
    <row r="314" ht="15.75" customHeight="1">
      <c r="AK314" s="10"/>
    </row>
    <row r="315" ht="15.75" customHeight="1">
      <c r="AK315" s="10"/>
    </row>
    <row r="316" ht="15.75" customHeight="1">
      <c r="AK316" s="10"/>
    </row>
    <row r="317" ht="15.75" customHeight="1">
      <c r="AK317" s="10"/>
    </row>
    <row r="318" ht="15.75" customHeight="1">
      <c r="AK318" s="10"/>
    </row>
    <row r="319" ht="15.75" customHeight="1">
      <c r="AK319" s="10"/>
    </row>
    <row r="320" ht="15.75" customHeight="1">
      <c r="AK320" s="10"/>
    </row>
    <row r="321" ht="15.75" customHeight="1">
      <c r="AK321" s="10"/>
    </row>
    <row r="322" ht="15.75" customHeight="1">
      <c r="AK322" s="10"/>
    </row>
    <row r="323" ht="15.75" customHeight="1">
      <c r="AK323" s="10"/>
    </row>
    <row r="324" ht="15.75" customHeight="1">
      <c r="AK324" s="10"/>
    </row>
    <row r="325" ht="15.75" customHeight="1">
      <c r="AK325" s="10"/>
    </row>
    <row r="326" ht="15.75" customHeight="1">
      <c r="AK326" s="10"/>
    </row>
    <row r="327" ht="15.75" customHeight="1">
      <c r="AK327" s="10"/>
    </row>
    <row r="328" ht="15.75" customHeight="1">
      <c r="AK328" s="10"/>
    </row>
    <row r="329" ht="15.75" customHeight="1">
      <c r="AK329" s="10"/>
    </row>
    <row r="330" ht="15.75" customHeight="1">
      <c r="AK330" s="10"/>
    </row>
    <row r="331" ht="15.75" customHeight="1">
      <c r="AK331" s="10"/>
    </row>
    <row r="332" ht="15.75" customHeight="1">
      <c r="AK332" s="10"/>
    </row>
    <row r="333" ht="15.75" customHeight="1">
      <c r="AK333" s="10"/>
    </row>
    <row r="334" ht="15.75" customHeight="1">
      <c r="AK334" s="10"/>
    </row>
    <row r="335" ht="15.75" customHeight="1">
      <c r="AK335" s="10"/>
    </row>
    <row r="336" ht="15.75" customHeight="1">
      <c r="AK336" s="10"/>
    </row>
    <row r="337" ht="15.75" customHeight="1">
      <c r="AK337" s="10"/>
    </row>
    <row r="338" ht="15.75" customHeight="1">
      <c r="AK338" s="10"/>
    </row>
    <row r="339" ht="15.75" customHeight="1">
      <c r="AK339" s="10"/>
    </row>
    <row r="340" ht="15.75" customHeight="1">
      <c r="AK340" s="10"/>
    </row>
    <row r="341" ht="15.75" customHeight="1">
      <c r="AK341" s="10"/>
    </row>
    <row r="342" ht="15.75" customHeight="1">
      <c r="AK342" s="10"/>
    </row>
    <row r="343" ht="15.75" customHeight="1">
      <c r="AK343" s="10"/>
    </row>
    <row r="344" ht="15.75" customHeight="1">
      <c r="AK344" s="10"/>
    </row>
    <row r="345" ht="15.75" customHeight="1">
      <c r="AK345" s="10"/>
    </row>
    <row r="346" ht="15.75" customHeight="1">
      <c r="AK346" s="10"/>
    </row>
    <row r="347" ht="15.75" customHeight="1">
      <c r="AK347" s="10"/>
    </row>
    <row r="348" ht="15.75" customHeight="1">
      <c r="AK348" s="10"/>
    </row>
    <row r="349" ht="15.75" customHeight="1">
      <c r="AK349" s="10"/>
    </row>
    <row r="350" ht="15.75" customHeight="1">
      <c r="AK350" s="10"/>
    </row>
    <row r="351" ht="15.75" customHeight="1">
      <c r="AK351" s="10"/>
    </row>
    <row r="352" ht="15.75" customHeight="1">
      <c r="AK352" s="10"/>
    </row>
    <row r="353" ht="15.75" customHeight="1">
      <c r="AK353" s="10"/>
    </row>
    <row r="354" ht="15.75" customHeight="1">
      <c r="AK354" s="10"/>
    </row>
    <row r="355" ht="15.75" customHeight="1">
      <c r="AK355" s="10"/>
    </row>
    <row r="356" ht="15.75" customHeight="1">
      <c r="AK356" s="10"/>
    </row>
    <row r="357" ht="15.75" customHeight="1">
      <c r="AK357" s="10"/>
    </row>
    <row r="358" ht="15.75" customHeight="1">
      <c r="AK358" s="10"/>
    </row>
    <row r="359" ht="15.75" customHeight="1">
      <c r="AK359" s="10"/>
    </row>
    <row r="360" ht="15.75" customHeight="1">
      <c r="AK360" s="10"/>
    </row>
    <row r="361" ht="15.75" customHeight="1">
      <c r="AK361" s="10"/>
    </row>
    <row r="362" ht="15.75" customHeight="1">
      <c r="AK362" s="10"/>
    </row>
    <row r="363" ht="15.75" customHeight="1">
      <c r="AK363" s="10"/>
    </row>
    <row r="364" ht="15.75" customHeight="1">
      <c r="AK364" s="10"/>
    </row>
    <row r="365" ht="15.75" customHeight="1">
      <c r="AK365" s="10"/>
    </row>
    <row r="366" ht="15.75" customHeight="1">
      <c r="AK366" s="10"/>
    </row>
    <row r="367" ht="15.75" customHeight="1">
      <c r="AK367" s="10"/>
    </row>
    <row r="368" ht="15.75" customHeight="1">
      <c r="AK368" s="10"/>
    </row>
    <row r="369" ht="15.75" customHeight="1">
      <c r="AK369" s="10"/>
    </row>
    <row r="370" ht="15.75" customHeight="1">
      <c r="AK370" s="10"/>
    </row>
    <row r="371" ht="15.75" customHeight="1">
      <c r="AK371" s="10"/>
    </row>
    <row r="372" ht="15.75" customHeight="1">
      <c r="AK372" s="10"/>
    </row>
    <row r="373" ht="15.75" customHeight="1">
      <c r="AK373" s="10"/>
    </row>
    <row r="374" ht="15.75" customHeight="1">
      <c r="AK374" s="10"/>
    </row>
    <row r="375" ht="15.75" customHeight="1">
      <c r="AK375" s="10"/>
    </row>
    <row r="376" ht="15.75" customHeight="1">
      <c r="AK376" s="10"/>
    </row>
    <row r="377" ht="15.75" customHeight="1">
      <c r="AK377" s="10"/>
    </row>
    <row r="378" ht="15.75" customHeight="1">
      <c r="AK378" s="10"/>
    </row>
    <row r="379" ht="15.75" customHeight="1">
      <c r="AK379" s="10"/>
    </row>
    <row r="380" ht="15.75" customHeight="1">
      <c r="AK380" s="10"/>
    </row>
    <row r="381" ht="15.75" customHeight="1">
      <c r="AK381" s="10"/>
    </row>
    <row r="382" ht="15.75" customHeight="1">
      <c r="AK382" s="10"/>
    </row>
    <row r="383" ht="15.75" customHeight="1">
      <c r="AK383" s="10"/>
    </row>
    <row r="384" ht="15.75" customHeight="1">
      <c r="AK384" s="10"/>
    </row>
    <row r="385" ht="15.75" customHeight="1">
      <c r="AK385" s="10"/>
    </row>
    <row r="386" ht="15.75" customHeight="1">
      <c r="AK386" s="10"/>
    </row>
    <row r="387" ht="15.75" customHeight="1">
      <c r="AK387" s="10"/>
    </row>
    <row r="388" ht="15.75" customHeight="1">
      <c r="AK388" s="10"/>
    </row>
    <row r="389" ht="15.75" customHeight="1">
      <c r="AK389" s="10"/>
    </row>
    <row r="390" ht="15.75" customHeight="1">
      <c r="AK390" s="10"/>
    </row>
    <row r="391" ht="15.75" customHeight="1">
      <c r="AK391" s="10"/>
    </row>
    <row r="392" ht="15.75" customHeight="1">
      <c r="AK392" s="10"/>
    </row>
    <row r="393" ht="15.75" customHeight="1">
      <c r="AK393" s="10"/>
    </row>
    <row r="394" ht="15.75" customHeight="1">
      <c r="AK394" s="10"/>
    </row>
    <row r="395" ht="15.75" customHeight="1">
      <c r="AK395" s="10"/>
    </row>
    <row r="396" ht="15.75" customHeight="1">
      <c r="AK396" s="10"/>
    </row>
    <row r="397" ht="15.75" customHeight="1">
      <c r="AK397" s="10"/>
    </row>
    <row r="398" ht="15.75" customHeight="1">
      <c r="AK398" s="10"/>
    </row>
    <row r="399" ht="15.75" customHeight="1">
      <c r="AK399" s="10"/>
    </row>
    <row r="400" ht="15.75" customHeight="1">
      <c r="AK400" s="10"/>
    </row>
    <row r="401" ht="15.75" customHeight="1">
      <c r="AK401" s="10"/>
    </row>
    <row r="402" ht="15.75" customHeight="1">
      <c r="AK402" s="10"/>
    </row>
    <row r="403" ht="15.75" customHeight="1">
      <c r="AK403" s="10"/>
    </row>
    <row r="404" ht="15.75" customHeight="1">
      <c r="AK404" s="10"/>
    </row>
    <row r="405" ht="15.75" customHeight="1">
      <c r="AK405" s="10"/>
    </row>
    <row r="406" ht="15.75" customHeight="1">
      <c r="AK406" s="10"/>
    </row>
    <row r="407" ht="15.75" customHeight="1">
      <c r="AK407" s="10"/>
    </row>
    <row r="408" ht="15.75" customHeight="1">
      <c r="AK408" s="10"/>
    </row>
    <row r="409" ht="15.75" customHeight="1">
      <c r="AK409" s="10"/>
    </row>
    <row r="410" ht="15.75" customHeight="1">
      <c r="AK410" s="10"/>
    </row>
    <row r="411" ht="15.75" customHeight="1">
      <c r="AK411" s="10"/>
    </row>
    <row r="412" ht="15.75" customHeight="1">
      <c r="AK412" s="10"/>
    </row>
    <row r="413" ht="15.75" customHeight="1">
      <c r="AK413" s="10"/>
    </row>
    <row r="414" ht="15.75" customHeight="1">
      <c r="AK414" s="10"/>
    </row>
    <row r="415" ht="15.75" customHeight="1">
      <c r="AK415" s="10"/>
    </row>
    <row r="416" ht="15.75" customHeight="1">
      <c r="AK416" s="10"/>
    </row>
    <row r="417" ht="15.75" customHeight="1">
      <c r="AK417" s="10"/>
    </row>
    <row r="418" ht="15.75" customHeight="1">
      <c r="AK418" s="10"/>
    </row>
    <row r="419" ht="15.75" customHeight="1">
      <c r="AK419" s="10"/>
    </row>
    <row r="420" ht="15.75" customHeight="1">
      <c r="AK420" s="10"/>
    </row>
    <row r="421" ht="15.75" customHeight="1">
      <c r="AK421" s="10"/>
    </row>
    <row r="422" ht="15.75" customHeight="1">
      <c r="AK422" s="10"/>
    </row>
    <row r="423" ht="15.75" customHeight="1">
      <c r="AK423" s="10"/>
    </row>
    <row r="424" ht="15.75" customHeight="1">
      <c r="AK424" s="10"/>
    </row>
    <row r="425" ht="15.75" customHeight="1">
      <c r="AK425" s="10"/>
    </row>
    <row r="426" ht="15.75" customHeight="1">
      <c r="AK426" s="10"/>
    </row>
    <row r="427" ht="15.75" customHeight="1">
      <c r="AK427" s="10"/>
    </row>
    <row r="428" ht="15.75" customHeight="1">
      <c r="AK428" s="10"/>
    </row>
    <row r="429" ht="15.75" customHeight="1">
      <c r="AK429" s="10"/>
    </row>
    <row r="430" ht="15.75" customHeight="1">
      <c r="AK430" s="10"/>
    </row>
    <row r="431" ht="15.75" customHeight="1">
      <c r="AK431" s="10"/>
    </row>
    <row r="432" ht="15.75" customHeight="1">
      <c r="AK432" s="10"/>
    </row>
    <row r="433" ht="15.75" customHeight="1">
      <c r="AK433" s="10"/>
    </row>
    <row r="434" ht="15.75" customHeight="1">
      <c r="AK434" s="10"/>
    </row>
    <row r="435" ht="15.75" customHeight="1">
      <c r="AK435" s="10"/>
    </row>
    <row r="436" ht="15.75" customHeight="1">
      <c r="AK436" s="10"/>
    </row>
    <row r="437" ht="15.75" customHeight="1">
      <c r="AK437" s="10"/>
    </row>
    <row r="438" ht="15.75" customHeight="1">
      <c r="AK438" s="10"/>
    </row>
    <row r="439" ht="15.75" customHeight="1">
      <c r="AK439" s="10"/>
    </row>
    <row r="440" ht="15.75" customHeight="1">
      <c r="AK440" s="10"/>
    </row>
    <row r="441" ht="15.75" customHeight="1">
      <c r="AK441" s="10"/>
    </row>
    <row r="442" ht="15.75" customHeight="1">
      <c r="AK442" s="10"/>
    </row>
    <row r="443" ht="15.75" customHeight="1">
      <c r="AK443" s="10"/>
    </row>
    <row r="444" ht="15.75" customHeight="1">
      <c r="AK444" s="10"/>
    </row>
    <row r="445" ht="15.75" customHeight="1">
      <c r="AK445" s="10"/>
    </row>
    <row r="446" ht="15.75" customHeight="1">
      <c r="AK446" s="10"/>
    </row>
    <row r="447" ht="15.75" customHeight="1">
      <c r="AK447" s="10"/>
    </row>
    <row r="448" ht="15.75" customHeight="1">
      <c r="AK448" s="10"/>
    </row>
    <row r="449" ht="15.75" customHeight="1">
      <c r="AK449" s="10"/>
    </row>
    <row r="450" ht="15.75" customHeight="1">
      <c r="AK450" s="10"/>
    </row>
    <row r="451" ht="15.75" customHeight="1">
      <c r="AK451" s="10"/>
    </row>
    <row r="452" ht="15.75" customHeight="1">
      <c r="AK452" s="10"/>
    </row>
    <row r="453" ht="15.75" customHeight="1">
      <c r="AK453" s="10"/>
    </row>
    <row r="454" ht="15.75" customHeight="1">
      <c r="AK454" s="10"/>
    </row>
    <row r="455" ht="15.75" customHeight="1">
      <c r="AK455" s="10"/>
    </row>
    <row r="456" ht="15.75" customHeight="1">
      <c r="AK456" s="10"/>
    </row>
    <row r="457" ht="15.75" customHeight="1">
      <c r="AK457" s="10"/>
    </row>
    <row r="458" ht="15.75" customHeight="1">
      <c r="AK458" s="10"/>
    </row>
    <row r="459" ht="15.75" customHeight="1">
      <c r="AK459" s="10"/>
    </row>
    <row r="460" ht="15.75" customHeight="1">
      <c r="AK460" s="10"/>
    </row>
    <row r="461" ht="15.75" customHeight="1">
      <c r="AK461" s="10"/>
    </row>
    <row r="462" ht="15.75" customHeight="1">
      <c r="AK462" s="10"/>
    </row>
    <row r="463" ht="15.75" customHeight="1">
      <c r="AK463" s="10"/>
    </row>
    <row r="464" ht="15.75" customHeight="1">
      <c r="AK464" s="10"/>
    </row>
    <row r="465" ht="15.75" customHeight="1">
      <c r="AK465" s="10"/>
    </row>
    <row r="466" ht="15.75" customHeight="1">
      <c r="AK466" s="10"/>
    </row>
    <row r="467" ht="15.75" customHeight="1">
      <c r="AK467" s="10"/>
    </row>
    <row r="468" ht="15.75" customHeight="1">
      <c r="AK468" s="10"/>
    </row>
    <row r="469" ht="15.75" customHeight="1">
      <c r="AK469" s="10"/>
    </row>
    <row r="470" ht="15.75" customHeight="1">
      <c r="AK470" s="10"/>
    </row>
    <row r="471" ht="15.75" customHeight="1">
      <c r="AK471" s="10"/>
    </row>
    <row r="472" ht="15.75" customHeight="1">
      <c r="AK472" s="10"/>
    </row>
    <row r="473" ht="15.75" customHeight="1">
      <c r="AK473" s="10"/>
    </row>
    <row r="474" ht="15.75" customHeight="1">
      <c r="AK474" s="10"/>
    </row>
    <row r="475" ht="15.75" customHeight="1">
      <c r="AK475" s="10"/>
    </row>
    <row r="476" ht="15.75" customHeight="1">
      <c r="AK476" s="10"/>
    </row>
    <row r="477" ht="15.75" customHeight="1">
      <c r="AK477" s="10"/>
    </row>
    <row r="478" ht="15.75" customHeight="1">
      <c r="AK478" s="10"/>
    </row>
    <row r="479" ht="15.75" customHeight="1">
      <c r="AK479" s="10"/>
    </row>
    <row r="480" ht="15.75" customHeight="1">
      <c r="AK480" s="10"/>
    </row>
    <row r="481" ht="15.75" customHeight="1">
      <c r="AK481" s="10"/>
    </row>
    <row r="482" ht="15.75" customHeight="1">
      <c r="AK482" s="10"/>
    </row>
    <row r="483" ht="15.75" customHeight="1">
      <c r="AK483" s="10"/>
    </row>
    <row r="484" ht="15.75" customHeight="1">
      <c r="AK484" s="10"/>
    </row>
    <row r="485" ht="15.75" customHeight="1">
      <c r="AK485" s="10"/>
    </row>
    <row r="486" ht="15.75" customHeight="1">
      <c r="AK486" s="10"/>
    </row>
    <row r="487" ht="15.75" customHeight="1">
      <c r="AK487" s="10"/>
    </row>
    <row r="488" ht="15.75" customHeight="1">
      <c r="AK488" s="10"/>
    </row>
    <row r="489" ht="15.75" customHeight="1">
      <c r="AK489" s="10"/>
    </row>
    <row r="490" ht="15.75" customHeight="1">
      <c r="AK490" s="10"/>
    </row>
    <row r="491" ht="15.75" customHeight="1">
      <c r="AK491" s="10"/>
    </row>
    <row r="492" ht="15.75" customHeight="1">
      <c r="AK492" s="10"/>
    </row>
    <row r="493" ht="15.75" customHeight="1">
      <c r="AK493" s="10"/>
    </row>
    <row r="494" ht="15.75" customHeight="1">
      <c r="AK494" s="10"/>
    </row>
    <row r="495" ht="15.75" customHeight="1">
      <c r="AK495" s="10"/>
    </row>
    <row r="496" ht="15.75" customHeight="1">
      <c r="AK496" s="10"/>
    </row>
    <row r="497" ht="15.75" customHeight="1">
      <c r="AK497" s="10"/>
    </row>
    <row r="498" ht="15.75" customHeight="1">
      <c r="AK498" s="10"/>
    </row>
    <row r="499" ht="15.75" customHeight="1">
      <c r="AK499" s="10"/>
    </row>
    <row r="500" ht="15.75" customHeight="1">
      <c r="AK500" s="10"/>
    </row>
    <row r="501" ht="15.75" customHeight="1">
      <c r="AK501" s="10"/>
    </row>
    <row r="502" ht="15.75" customHeight="1">
      <c r="AK502" s="10"/>
    </row>
    <row r="503" ht="15.75" customHeight="1">
      <c r="AK503" s="10"/>
    </row>
    <row r="504" ht="15.75" customHeight="1">
      <c r="AK504" s="10"/>
    </row>
    <row r="505" ht="15.75" customHeight="1">
      <c r="AK505" s="10"/>
    </row>
    <row r="506" ht="15.75" customHeight="1">
      <c r="AK506" s="10"/>
    </row>
    <row r="507" ht="15.75" customHeight="1">
      <c r="AK507" s="10"/>
    </row>
    <row r="508" ht="15.75" customHeight="1">
      <c r="AK508" s="10"/>
    </row>
    <row r="509" ht="15.75" customHeight="1">
      <c r="AK509" s="10"/>
    </row>
    <row r="510" ht="15.75" customHeight="1">
      <c r="AK510" s="10"/>
    </row>
    <row r="511" ht="15.75" customHeight="1">
      <c r="AK511" s="10"/>
    </row>
    <row r="512" ht="15.75" customHeight="1">
      <c r="AK512" s="10"/>
    </row>
    <row r="513" ht="15.75" customHeight="1">
      <c r="AK513" s="10"/>
    </row>
    <row r="514" ht="15.75" customHeight="1">
      <c r="AK514" s="10"/>
    </row>
    <row r="515" ht="15.75" customHeight="1">
      <c r="AK515" s="10"/>
    </row>
    <row r="516" ht="15.75" customHeight="1">
      <c r="AK516" s="10"/>
    </row>
    <row r="517" ht="15.75" customHeight="1">
      <c r="AK517" s="10"/>
    </row>
    <row r="518" ht="15.75" customHeight="1">
      <c r="AK518" s="10"/>
    </row>
    <row r="519" ht="15.75" customHeight="1">
      <c r="AK519" s="10"/>
    </row>
    <row r="520" ht="15.75" customHeight="1">
      <c r="AK520" s="10"/>
    </row>
    <row r="521" ht="15.75" customHeight="1">
      <c r="AK521" s="10"/>
    </row>
    <row r="522" ht="15.75" customHeight="1">
      <c r="AK522" s="10"/>
    </row>
    <row r="523" ht="15.75" customHeight="1">
      <c r="AK523" s="10"/>
    </row>
    <row r="524" ht="15.75" customHeight="1">
      <c r="AK524" s="10"/>
    </row>
    <row r="525" ht="15.75" customHeight="1">
      <c r="AK525" s="10"/>
    </row>
    <row r="526" ht="15.75" customHeight="1">
      <c r="AK526" s="10"/>
    </row>
    <row r="527" ht="15.75" customHeight="1">
      <c r="AK527" s="10"/>
    </row>
    <row r="528" ht="15.75" customHeight="1">
      <c r="AK528" s="10"/>
    </row>
    <row r="529" ht="15.75" customHeight="1">
      <c r="AK529" s="10"/>
    </row>
    <row r="530" ht="15.75" customHeight="1">
      <c r="AK530" s="10"/>
    </row>
    <row r="531" ht="15.75" customHeight="1">
      <c r="AK531" s="10"/>
    </row>
    <row r="532" ht="15.75" customHeight="1">
      <c r="AK532" s="10"/>
    </row>
    <row r="533" ht="15.75" customHeight="1">
      <c r="AK533" s="10"/>
    </row>
    <row r="534" ht="15.75" customHeight="1">
      <c r="AK534" s="10"/>
    </row>
    <row r="535" ht="15.75" customHeight="1">
      <c r="AK535" s="10"/>
    </row>
    <row r="536" ht="15.75" customHeight="1">
      <c r="AK536" s="10"/>
    </row>
    <row r="537" ht="15.75" customHeight="1">
      <c r="AK537" s="10"/>
    </row>
    <row r="538" ht="15.75" customHeight="1">
      <c r="AK538" s="10"/>
    </row>
    <row r="539" ht="15.75" customHeight="1">
      <c r="AK539" s="10"/>
    </row>
    <row r="540" ht="15.75" customHeight="1">
      <c r="AK540" s="10"/>
    </row>
    <row r="541" ht="15.75" customHeight="1">
      <c r="AK541" s="10"/>
    </row>
    <row r="542" ht="15.75" customHeight="1">
      <c r="AK542" s="10"/>
    </row>
    <row r="543" ht="15.75" customHeight="1">
      <c r="AK543" s="10"/>
    </row>
    <row r="544" ht="15.75" customHeight="1">
      <c r="AK544" s="10"/>
    </row>
    <row r="545" ht="15.75" customHeight="1">
      <c r="AK545" s="10"/>
    </row>
    <row r="546" ht="15.75" customHeight="1">
      <c r="AK546" s="10"/>
    </row>
    <row r="547" ht="15.75" customHeight="1">
      <c r="AK547" s="10"/>
    </row>
    <row r="548" ht="15.75" customHeight="1">
      <c r="AK548" s="10"/>
    </row>
    <row r="549" ht="15.75" customHeight="1">
      <c r="AK549" s="10"/>
    </row>
    <row r="550" ht="15.75" customHeight="1">
      <c r="AK550" s="10"/>
    </row>
    <row r="551" ht="15.75" customHeight="1">
      <c r="AK551" s="10"/>
    </row>
    <row r="552" ht="15.75" customHeight="1">
      <c r="AK552" s="10"/>
    </row>
    <row r="553" ht="15.75" customHeight="1">
      <c r="AK553" s="10"/>
    </row>
    <row r="554" ht="15.75" customHeight="1">
      <c r="AK554" s="10"/>
    </row>
    <row r="555" ht="15.75" customHeight="1">
      <c r="AK555" s="10"/>
    </row>
    <row r="556" ht="15.75" customHeight="1">
      <c r="AK556" s="10"/>
    </row>
    <row r="557" ht="15.75" customHeight="1">
      <c r="AK557" s="10"/>
    </row>
    <row r="558" ht="15.75" customHeight="1">
      <c r="AK558" s="10"/>
    </row>
    <row r="559" ht="15.75" customHeight="1">
      <c r="AK559" s="10"/>
    </row>
    <row r="560" ht="15.75" customHeight="1">
      <c r="AK560" s="10"/>
    </row>
    <row r="561" ht="15.75" customHeight="1">
      <c r="AK561" s="10"/>
    </row>
    <row r="562" ht="15.75" customHeight="1">
      <c r="AK562" s="10"/>
    </row>
    <row r="563" ht="15.75" customHeight="1">
      <c r="AK563" s="10"/>
    </row>
    <row r="564" ht="15.75" customHeight="1">
      <c r="AK564" s="10"/>
    </row>
    <row r="565" ht="15.75" customHeight="1">
      <c r="AK565" s="10"/>
    </row>
    <row r="566" ht="15.75" customHeight="1">
      <c r="AK566" s="10"/>
    </row>
    <row r="567" ht="15.75" customHeight="1">
      <c r="AK567" s="10"/>
    </row>
    <row r="568" ht="15.75" customHeight="1">
      <c r="AK568" s="10"/>
    </row>
    <row r="569" ht="15.75" customHeight="1">
      <c r="AK569" s="10"/>
    </row>
    <row r="570" ht="15.75" customHeight="1">
      <c r="AK570" s="10"/>
    </row>
    <row r="571" ht="15.75" customHeight="1">
      <c r="AK571" s="10"/>
    </row>
    <row r="572" ht="15.75" customHeight="1">
      <c r="AK572" s="10"/>
    </row>
    <row r="573" ht="15.75" customHeight="1">
      <c r="AK573" s="10"/>
    </row>
    <row r="574" ht="15.75" customHeight="1">
      <c r="AK574" s="10"/>
    </row>
    <row r="575" ht="15.75" customHeight="1">
      <c r="AK575" s="10"/>
    </row>
    <row r="576" ht="15.75" customHeight="1">
      <c r="AK576" s="10"/>
    </row>
    <row r="577" ht="15.75" customHeight="1">
      <c r="AK577" s="10"/>
    </row>
    <row r="578" ht="15.75" customHeight="1">
      <c r="AK578" s="10"/>
    </row>
    <row r="579" ht="15.75" customHeight="1">
      <c r="AK579" s="10"/>
    </row>
    <row r="580" ht="15.75" customHeight="1">
      <c r="AK580" s="10"/>
    </row>
    <row r="581" ht="15.75" customHeight="1">
      <c r="AK581" s="10"/>
    </row>
    <row r="582" ht="15.75" customHeight="1">
      <c r="AK582" s="10"/>
    </row>
    <row r="583" ht="15.75" customHeight="1">
      <c r="AK583" s="10"/>
    </row>
    <row r="584" ht="15.75" customHeight="1">
      <c r="AK584" s="10"/>
    </row>
    <row r="585" ht="15.75" customHeight="1">
      <c r="AK585" s="10"/>
    </row>
    <row r="586" ht="15.75" customHeight="1">
      <c r="AK586" s="10"/>
    </row>
    <row r="587" ht="15.75" customHeight="1">
      <c r="AK587" s="10"/>
    </row>
    <row r="588" ht="15.75" customHeight="1">
      <c r="AK588" s="10"/>
    </row>
    <row r="589" ht="15.75" customHeight="1">
      <c r="AK589" s="10"/>
    </row>
    <row r="590" ht="15.75" customHeight="1">
      <c r="AK590" s="10"/>
    </row>
    <row r="591" ht="15.75" customHeight="1">
      <c r="AK591" s="10"/>
    </row>
    <row r="592" ht="15.75" customHeight="1">
      <c r="AK592" s="10"/>
    </row>
    <row r="593" ht="15.75" customHeight="1">
      <c r="AK593" s="10"/>
    </row>
    <row r="594" ht="15.75" customHeight="1">
      <c r="AK594" s="10"/>
    </row>
    <row r="595" ht="15.75" customHeight="1">
      <c r="AK595" s="10"/>
    </row>
    <row r="596" ht="15.75" customHeight="1">
      <c r="AK596" s="10"/>
    </row>
    <row r="597" ht="15.75" customHeight="1">
      <c r="AK597" s="10"/>
    </row>
    <row r="598" ht="15.75" customHeight="1">
      <c r="AK598" s="10"/>
    </row>
    <row r="599" ht="15.75" customHeight="1">
      <c r="AK599" s="10"/>
    </row>
    <row r="600" ht="15.75" customHeight="1">
      <c r="AK600" s="10"/>
    </row>
    <row r="601" ht="15.75" customHeight="1">
      <c r="AK601" s="10"/>
    </row>
    <row r="602" ht="15.75" customHeight="1">
      <c r="AK602" s="10"/>
    </row>
    <row r="603" ht="15.75" customHeight="1">
      <c r="AK603" s="10"/>
    </row>
    <row r="604" ht="15.75" customHeight="1">
      <c r="AK604" s="10"/>
    </row>
    <row r="605" ht="15.75" customHeight="1">
      <c r="AK605" s="10"/>
    </row>
    <row r="606" ht="15.75" customHeight="1">
      <c r="AK606" s="10"/>
    </row>
    <row r="607" ht="15.75" customHeight="1">
      <c r="AK607" s="10"/>
    </row>
    <row r="608" ht="15.75" customHeight="1">
      <c r="AK608" s="10"/>
    </row>
    <row r="609" ht="15.75" customHeight="1">
      <c r="AK609" s="10"/>
    </row>
    <row r="610" ht="15.75" customHeight="1">
      <c r="AK610" s="10"/>
    </row>
    <row r="611" ht="15.75" customHeight="1">
      <c r="AK611" s="10"/>
    </row>
    <row r="612" ht="15.75" customHeight="1">
      <c r="AK612" s="10"/>
    </row>
    <row r="613" ht="15.75" customHeight="1">
      <c r="AK613" s="10"/>
    </row>
    <row r="614" ht="15.75" customHeight="1">
      <c r="AK614" s="10"/>
    </row>
    <row r="615" ht="15.75" customHeight="1">
      <c r="AK615" s="10"/>
    </row>
    <row r="616" ht="15.75" customHeight="1">
      <c r="AK616" s="10"/>
    </row>
    <row r="617" ht="15.75" customHeight="1">
      <c r="AK617" s="10"/>
    </row>
    <row r="618" ht="15.75" customHeight="1">
      <c r="AK618" s="10"/>
    </row>
    <row r="619" ht="15.75" customHeight="1">
      <c r="AK619" s="10"/>
    </row>
    <row r="620" ht="15.75" customHeight="1">
      <c r="AK620" s="10"/>
    </row>
    <row r="621" ht="15.75" customHeight="1">
      <c r="AK621" s="10"/>
    </row>
    <row r="622" ht="15.75" customHeight="1">
      <c r="AK622" s="10"/>
    </row>
    <row r="623" ht="15.75" customHeight="1">
      <c r="AK623" s="10"/>
    </row>
    <row r="624" ht="15.75" customHeight="1">
      <c r="AK624" s="10"/>
    </row>
    <row r="625" ht="15.75" customHeight="1">
      <c r="AK625" s="10"/>
    </row>
    <row r="626" ht="15.75" customHeight="1">
      <c r="AK626" s="10"/>
    </row>
    <row r="627" ht="15.75" customHeight="1">
      <c r="AK627" s="10"/>
    </row>
    <row r="628" ht="15.75" customHeight="1">
      <c r="AK628" s="10"/>
    </row>
    <row r="629" ht="15.75" customHeight="1">
      <c r="AK629" s="10"/>
    </row>
    <row r="630" ht="15.75" customHeight="1">
      <c r="AK630" s="10"/>
    </row>
    <row r="631" ht="15.75" customHeight="1">
      <c r="AK631" s="10"/>
    </row>
    <row r="632" ht="15.75" customHeight="1">
      <c r="AK632" s="10"/>
    </row>
    <row r="633" ht="15.75" customHeight="1">
      <c r="AK633" s="10"/>
    </row>
    <row r="634" ht="15.75" customHeight="1">
      <c r="AK634" s="10"/>
    </row>
    <row r="635" ht="15.75" customHeight="1">
      <c r="AK635" s="10"/>
    </row>
    <row r="636" ht="15.75" customHeight="1">
      <c r="AK636" s="10"/>
    </row>
    <row r="637" ht="15.75" customHeight="1">
      <c r="AK637" s="10"/>
    </row>
    <row r="638" ht="15.75" customHeight="1">
      <c r="AK638" s="10"/>
    </row>
    <row r="639" ht="15.75" customHeight="1">
      <c r="AK639" s="10"/>
    </row>
    <row r="640" ht="15.75" customHeight="1">
      <c r="AK640" s="10"/>
    </row>
    <row r="641" ht="15.75" customHeight="1">
      <c r="AK641" s="10"/>
    </row>
    <row r="642" ht="15.75" customHeight="1">
      <c r="AK642" s="10"/>
    </row>
    <row r="643" ht="15.75" customHeight="1">
      <c r="AK643" s="10"/>
    </row>
    <row r="644" ht="15.75" customHeight="1">
      <c r="AK644" s="10"/>
    </row>
    <row r="645" ht="15.75" customHeight="1">
      <c r="AK645" s="10"/>
    </row>
    <row r="646" ht="15.75" customHeight="1">
      <c r="AK646" s="10"/>
    </row>
    <row r="647" ht="15.75" customHeight="1">
      <c r="AK647" s="10"/>
    </row>
    <row r="648" ht="15.75" customHeight="1">
      <c r="AK648" s="10"/>
    </row>
    <row r="649" ht="15.75" customHeight="1">
      <c r="AK649" s="10"/>
    </row>
    <row r="650" ht="15.75" customHeight="1">
      <c r="AK650" s="10"/>
    </row>
    <row r="651" ht="15.75" customHeight="1">
      <c r="AK651" s="10"/>
    </row>
    <row r="652" ht="15.75" customHeight="1">
      <c r="AK652" s="10"/>
    </row>
    <row r="653" ht="15.75" customHeight="1">
      <c r="AK653" s="10"/>
    </row>
    <row r="654" ht="15.75" customHeight="1">
      <c r="AK654" s="10"/>
    </row>
    <row r="655" ht="15.75" customHeight="1">
      <c r="AK655" s="10"/>
    </row>
    <row r="656" ht="15.75" customHeight="1">
      <c r="AK656" s="10"/>
    </row>
    <row r="657" ht="15.75" customHeight="1">
      <c r="AK657" s="10"/>
    </row>
    <row r="658" ht="15.75" customHeight="1">
      <c r="AK658" s="10"/>
    </row>
    <row r="659" ht="15.75" customHeight="1">
      <c r="AK659" s="10"/>
    </row>
    <row r="660" ht="15.75" customHeight="1">
      <c r="AK660" s="10"/>
    </row>
    <row r="661" ht="15.75" customHeight="1">
      <c r="AK661" s="10"/>
    </row>
    <row r="662" ht="15.75" customHeight="1">
      <c r="AK662" s="10"/>
    </row>
    <row r="663" ht="15.75" customHeight="1">
      <c r="AK663" s="10"/>
    </row>
    <row r="664" ht="15.75" customHeight="1">
      <c r="AK664" s="10"/>
    </row>
    <row r="665" ht="15.75" customHeight="1">
      <c r="AK665" s="10"/>
    </row>
    <row r="666" ht="15.75" customHeight="1">
      <c r="AK666" s="10"/>
    </row>
    <row r="667" ht="15.75" customHeight="1">
      <c r="AK667" s="10"/>
    </row>
    <row r="668" ht="15.75" customHeight="1">
      <c r="AK668" s="10"/>
    </row>
    <row r="669" ht="15.75" customHeight="1">
      <c r="AK669" s="10"/>
    </row>
    <row r="670" ht="15.75" customHeight="1">
      <c r="AK670" s="10"/>
    </row>
    <row r="671" ht="15.75" customHeight="1">
      <c r="AK671" s="10"/>
    </row>
    <row r="672" ht="15.75" customHeight="1">
      <c r="AK672" s="10"/>
    </row>
    <row r="673" ht="15.75" customHeight="1">
      <c r="AK673" s="10"/>
    </row>
    <row r="674" ht="15.75" customHeight="1">
      <c r="AK674" s="10"/>
    </row>
    <row r="675" ht="15.75" customHeight="1">
      <c r="AK675" s="10"/>
    </row>
    <row r="676" ht="15.75" customHeight="1">
      <c r="AK676" s="10"/>
    </row>
    <row r="677" ht="15.75" customHeight="1">
      <c r="AK677" s="10"/>
    </row>
    <row r="678" ht="15.75" customHeight="1">
      <c r="AK678" s="10"/>
    </row>
    <row r="679" ht="15.75" customHeight="1">
      <c r="AK679" s="10"/>
    </row>
    <row r="680" ht="15.75" customHeight="1">
      <c r="AK680" s="10"/>
    </row>
    <row r="681" ht="15.75" customHeight="1">
      <c r="AK681" s="10"/>
    </row>
    <row r="682" ht="15.75" customHeight="1">
      <c r="AK682" s="10"/>
    </row>
    <row r="683" ht="15.75" customHeight="1">
      <c r="AK683" s="10"/>
    </row>
    <row r="684" ht="15.75" customHeight="1">
      <c r="AK684" s="10"/>
    </row>
    <row r="685" ht="15.75" customHeight="1">
      <c r="AK685" s="10"/>
    </row>
    <row r="686" ht="15.75" customHeight="1">
      <c r="AK686" s="10"/>
    </row>
    <row r="687" ht="15.75" customHeight="1">
      <c r="AK687" s="10"/>
    </row>
    <row r="688" ht="15.75" customHeight="1">
      <c r="AK688" s="10"/>
    </row>
    <row r="689" ht="15.75" customHeight="1">
      <c r="AK689" s="10"/>
    </row>
    <row r="690" ht="15.75" customHeight="1">
      <c r="AK690" s="10"/>
    </row>
    <row r="691" ht="15.75" customHeight="1">
      <c r="AK691" s="10"/>
    </row>
    <row r="692" ht="15.75" customHeight="1">
      <c r="AK692" s="10"/>
    </row>
    <row r="693" ht="15.75" customHeight="1">
      <c r="AK693" s="10"/>
    </row>
    <row r="694" ht="15.75" customHeight="1">
      <c r="AK694" s="10"/>
    </row>
    <row r="695" ht="15.75" customHeight="1">
      <c r="AK695" s="10"/>
    </row>
    <row r="696" ht="15.75" customHeight="1">
      <c r="AK696" s="10"/>
    </row>
    <row r="697" ht="15.75" customHeight="1">
      <c r="AK697" s="10"/>
    </row>
    <row r="698" ht="15.75" customHeight="1">
      <c r="AK698" s="10"/>
    </row>
    <row r="699" ht="15.75" customHeight="1">
      <c r="AK699" s="10"/>
    </row>
    <row r="700" ht="15.75" customHeight="1">
      <c r="AK700" s="10"/>
    </row>
    <row r="701" ht="15.75" customHeight="1">
      <c r="AK701" s="10"/>
    </row>
    <row r="702" ht="15.75" customHeight="1">
      <c r="AK702" s="10"/>
    </row>
    <row r="703" ht="15.75" customHeight="1">
      <c r="AK703" s="10"/>
    </row>
    <row r="704" ht="15.75" customHeight="1">
      <c r="AK704" s="10"/>
    </row>
    <row r="705" ht="15.75" customHeight="1">
      <c r="AK705" s="10"/>
    </row>
    <row r="706" ht="15.75" customHeight="1">
      <c r="AK706" s="10"/>
    </row>
    <row r="707" ht="15.75" customHeight="1">
      <c r="AK707" s="10"/>
    </row>
    <row r="708" ht="15.75" customHeight="1">
      <c r="AK708" s="10"/>
    </row>
    <row r="709" ht="15.75" customHeight="1">
      <c r="AK709" s="10"/>
    </row>
    <row r="710" ht="15.75" customHeight="1">
      <c r="AK710" s="10"/>
    </row>
    <row r="711" ht="15.75" customHeight="1">
      <c r="AK711" s="10"/>
    </row>
    <row r="712" ht="15.75" customHeight="1">
      <c r="AK712" s="10"/>
    </row>
    <row r="713" ht="15.75" customHeight="1">
      <c r="AK713" s="10"/>
    </row>
    <row r="714" ht="15.75" customHeight="1">
      <c r="AK714" s="10"/>
    </row>
    <row r="715" ht="15.75" customHeight="1">
      <c r="AK715" s="10"/>
    </row>
    <row r="716" ht="15.75" customHeight="1">
      <c r="AK716" s="10"/>
    </row>
    <row r="717" ht="15.75" customHeight="1">
      <c r="AK717" s="10"/>
    </row>
    <row r="718" ht="15.75" customHeight="1">
      <c r="AK718" s="10"/>
    </row>
    <row r="719" ht="15.75" customHeight="1">
      <c r="AK719" s="10"/>
    </row>
    <row r="720" ht="15.75" customHeight="1">
      <c r="AK720" s="10"/>
    </row>
    <row r="721" ht="15.75" customHeight="1">
      <c r="AK721" s="10"/>
    </row>
    <row r="722" ht="15.75" customHeight="1">
      <c r="AK722" s="10"/>
    </row>
    <row r="723" ht="15.75" customHeight="1">
      <c r="AK723" s="10"/>
    </row>
    <row r="724" ht="15.75" customHeight="1">
      <c r="AK724" s="10"/>
    </row>
    <row r="725" ht="15.75" customHeight="1">
      <c r="AK725" s="10"/>
    </row>
    <row r="726" ht="15.75" customHeight="1">
      <c r="AK726" s="10"/>
    </row>
    <row r="727" ht="15.75" customHeight="1">
      <c r="AK727" s="10"/>
    </row>
    <row r="728" ht="15.75" customHeight="1">
      <c r="AK728" s="10"/>
    </row>
    <row r="729" ht="15.75" customHeight="1">
      <c r="AK729" s="10"/>
    </row>
    <row r="730" ht="15.75" customHeight="1">
      <c r="AK730" s="10"/>
    </row>
    <row r="731" ht="15.75" customHeight="1">
      <c r="AK731" s="10"/>
    </row>
    <row r="732" ht="15.75" customHeight="1">
      <c r="AK732" s="10"/>
    </row>
    <row r="733" ht="15.75" customHeight="1">
      <c r="AK733" s="10"/>
    </row>
    <row r="734" ht="15.75" customHeight="1">
      <c r="AK734" s="10"/>
    </row>
    <row r="735" ht="15.75" customHeight="1">
      <c r="AK735" s="10"/>
    </row>
    <row r="736" ht="15.75" customHeight="1">
      <c r="AK736" s="10"/>
    </row>
    <row r="737" ht="15.75" customHeight="1">
      <c r="AK737" s="10"/>
    </row>
    <row r="738" ht="15.75" customHeight="1">
      <c r="AK738" s="10"/>
    </row>
    <row r="739" ht="15.75" customHeight="1">
      <c r="AK739" s="10"/>
    </row>
    <row r="740" ht="15.75" customHeight="1">
      <c r="AK740" s="10"/>
    </row>
    <row r="741" ht="15.75" customHeight="1">
      <c r="AK741" s="10"/>
    </row>
    <row r="742" ht="15.75" customHeight="1">
      <c r="AK742" s="10"/>
    </row>
    <row r="743" ht="15.75" customHeight="1">
      <c r="AK743" s="10"/>
    </row>
    <row r="744" ht="15.75" customHeight="1">
      <c r="AK744" s="10"/>
    </row>
    <row r="745" ht="15.75" customHeight="1">
      <c r="AK745" s="10"/>
    </row>
    <row r="746" ht="15.75" customHeight="1">
      <c r="AK746" s="10"/>
    </row>
    <row r="747" ht="15.75" customHeight="1">
      <c r="AK747" s="10"/>
    </row>
    <row r="748" ht="15.75" customHeight="1">
      <c r="AK748" s="10"/>
    </row>
    <row r="749" ht="15.75" customHeight="1">
      <c r="AK749" s="10"/>
    </row>
    <row r="750" ht="15.75" customHeight="1">
      <c r="AK750" s="10"/>
    </row>
    <row r="751" ht="15.75" customHeight="1">
      <c r="AK751" s="10"/>
    </row>
    <row r="752" ht="15.75" customHeight="1">
      <c r="AK752" s="10"/>
    </row>
    <row r="753" ht="15.75" customHeight="1">
      <c r="AK753" s="10"/>
    </row>
    <row r="754" ht="15.75" customHeight="1">
      <c r="AK754" s="10"/>
    </row>
    <row r="755" ht="15.75" customHeight="1">
      <c r="AK755" s="10"/>
    </row>
    <row r="756" ht="15.75" customHeight="1">
      <c r="AK756" s="10"/>
    </row>
    <row r="757" ht="15.75" customHeight="1">
      <c r="AK757" s="10"/>
    </row>
    <row r="758" ht="15.75" customHeight="1">
      <c r="AK758" s="10"/>
    </row>
    <row r="759" ht="15.75" customHeight="1">
      <c r="AK759" s="10"/>
    </row>
    <row r="760" ht="15.75" customHeight="1">
      <c r="AK760" s="10"/>
    </row>
    <row r="761" ht="15.75" customHeight="1">
      <c r="AK761" s="10"/>
    </row>
    <row r="762" ht="15.75" customHeight="1">
      <c r="AK762" s="10"/>
    </row>
    <row r="763" ht="15.75" customHeight="1">
      <c r="AK763" s="10"/>
    </row>
    <row r="764" ht="15.75" customHeight="1">
      <c r="AK764" s="10"/>
    </row>
    <row r="765" ht="15.75" customHeight="1">
      <c r="AK765" s="10"/>
    </row>
    <row r="766" ht="15.75" customHeight="1">
      <c r="AK766" s="10"/>
    </row>
    <row r="767" ht="15.75" customHeight="1">
      <c r="AK767" s="10"/>
    </row>
    <row r="768" ht="15.75" customHeight="1">
      <c r="AK768" s="10"/>
    </row>
    <row r="769" ht="15.75" customHeight="1">
      <c r="AK769" s="10"/>
    </row>
    <row r="770" ht="15.75" customHeight="1">
      <c r="AK770" s="10"/>
    </row>
    <row r="771" ht="15.75" customHeight="1">
      <c r="AK771" s="10"/>
    </row>
    <row r="772" ht="15.75" customHeight="1">
      <c r="AK772" s="10"/>
    </row>
    <row r="773" ht="15.75" customHeight="1">
      <c r="AK773" s="10"/>
    </row>
    <row r="774" ht="15.75" customHeight="1">
      <c r="AK774" s="10"/>
    </row>
    <row r="775" ht="15.75" customHeight="1">
      <c r="AK775" s="10"/>
    </row>
    <row r="776" ht="15.75" customHeight="1">
      <c r="AK776" s="10"/>
    </row>
    <row r="777" ht="15.75" customHeight="1">
      <c r="AK777" s="10"/>
    </row>
    <row r="778" ht="15.75" customHeight="1">
      <c r="AK778" s="10"/>
    </row>
    <row r="779" ht="15.75" customHeight="1">
      <c r="AK779" s="10"/>
    </row>
    <row r="780" ht="15.75" customHeight="1">
      <c r="AK780" s="10"/>
    </row>
    <row r="781" ht="15.75" customHeight="1">
      <c r="AK781" s="10"/>
    </row>
    <row r="782" ht="15.75" customHeight="1">
      <c r="AK782" s="10"/>
    </row>
    <row r="783" ht="15.75" customHeight="1">
      <c r="AK783" s="10"/>
    </row>
    <row r="784" ht="15.75" customHeight="1">
      <c r="AK784" s="10"/>
    </row>
    <row r="785" ht="15.75" customHeight="1">
      <c r="AK785" s="10"/>
    </row>
    <row r="786" ht="15.75" customHeight="1">
      <c r="AK786" s="10"/>
    </row>
    <row r="787" ht="15.75" customHeight="1">
      <c r="AK787" s="10"/>
    </row>
    <row r="788" ht="15.75" customHeight="1">
      <c r="AK788" s="10"/>
    </row>
    <row r="789" ht="15.75" customHeight="1">
      <c r="AK789" s="10"/>
    </row>
    <row r="790" ht="15.75" customHeight="1">
      <c r="AK790" s="10"/>
    </row>
    <row r="791" ht="15.75" customHeight="1">
      <c r="AK791" s="10"/>
    </row>
    <row r="792" ht="15.75" customHeight="1">
      <c r="AK792" s="10"/>
    </row>
    <row r="793" ht="15.75" customHeight="1">
      <c r="AK793" s="10"/>
    </row>
    <row r="794" ht="15.75" customHeight="1">
      <c r="AK794" s="10"/>
    </row>
    <row r="795" ht="15.75" customHeight="1">
      <c r="AK795" s="10"/>
    </row>
    <row r="796" ht="15.75" customHeight="1">
      <c r="AK796" s="10"/>
    </row>
    <row r="797" ht="15.75" customHeight="1">
      <c r="AK797" s="10"/>
    </row>
    <row r="798" ht="15.75" customHeight="1">
      <c r="AK798" s="10"/>
    </row>
    <row r="799" ht="15.75" customHeight="1">
      <c r="AK799" s="10"/>
    </row>
    <row r="800" ht="15.75" customHeight="1">
      <c r="AK800" s="10"/>
    </row>
    <row r="801" ht="15.75" customHeight="1">
      <c r="AK801" s="10"/>
    </row>
    <row r="802" ht="15.75" customHeight="1">
      <c r="AK802" s="10"/>
    </row>
    <row r="803" ht="15.75" customHeight="1">
      <c r="AK803" s="10"/>
    </row>
    <row r="804" ht="15.75" customHeight="1">
      <c r="AK804" s="10"/>
    </row>
    <row r="805" ht="15.75" customHeight="1">
      <c r="AK805" s="10"/>
    </row>
    <row r="806" ht="15.75" customHeight="1">
      <c r="AK806" s="10"/>
    </row>
    <row r="807" ht="15.75" customHeight="1">
      <c r="AK807" s="10"/>
    </row>
    <row r="808" ht="15.75" customHeight="1">
      <c r="AK808" s="10"/>
    </row>
    <row r="809" ht="15.75" customHeight="1">
      <c r="AK809" s="10"/>
    </row>
    <row r="810" ht="15.75" customHeight="1">
      <c r="AK810" s="10"/>
    </row>
    <row r="811" ht="15.75" customHeight="1">
      <c r="AK811" s="10"/>
    </row>
    <row r="812" ht="15.75" customHeight="1">
      <c r="AK812" s="10"/>
    </row>
    <row r="813" ht="15.75" customHeight="1">
      <c r="AK813" s="10"/>
    </row>
    <row r="814" ht="15.75" customHeight="1">
      <c r="AK814" s="10"/>
    </row>
    <row r="815" ht="15.75" customHeight="1">
      <c r="AK815" s="10"/>
    </row>
    <row r="816" ht="15.75" customHeight="1">
      <c r="AK816" s="10"/>
    </row>
    <row r="817" ht="15.75" customHeight="1">
      <c r="AK817" s="10"/>
    </row>
    <row r="818" ht="15.75" customHeight="1">
      <c r="AK818" s="10"/>
    </row>
    <row r="819" ht="15.75" customHeight="1">
      <c r="AK819" s="10"/>
    </row>
    <row r="820" ht="15.75" customHeight="1">
      <c r="AK820" s="10"/>
    </row>
    <row r="821" ht="15.75" customHeight="1">
      <c r="AK821" s="10"/>
    </row>
    <row r="822" ht="15.75" customHeight="1">
      <c r="AK822" s="10"/>
    </row>
    <row r="823" ht="15.75" customHeight="1">
      <c r="AK823" s="10"/>
    </row>
    <row r="824" ht="15.75" customHeight="1">
      <c r="AK824" s="10"/>
    </row>
    <row r="825" ht="15.75" customHeight="1">
      <c r="AK825" s="10"/>
    </row>
    <row r="826" ht="15.75" customHeight="1">
      <c r="AK826" s="10"/>
    </row>
    <row r="827" ht="15.75" customHeight="1">
      <c r="AK827" s="10"/>
    </row>
    <row r="828" ht="15.75" customHeight="1">
      <c r="AK828" s="10"/>
    </row>
    <row r="829" ht="15.75" customHeight="1">
      <c r="AK829" s="10"/>
    </row>
    <row r="830" ht="15.75" customHeight="1">
      <c r="AK830" s="10"/>
    </row>
    <row r="831" ht="15.75" customHeight="1">
      <c r="AK831" s="10"/>
    </row>
    <row r="832" ht="15.75" customHeight="1">
      <c r="AK832" s="10"/>
    </row>
    <row r="833" ht="15.75" customHeight="1">
      <c r="AK833" s="10"/>
    </row>
    <row r="834" ht="15.75" customHeight="1">
      <c r="AK834" s="10"/>
    </row>
    <row r="835" ht="15.75" customHeight="1">
      <c r="AK835" s="10"/>
    </row>
    <row r="836" ht="15.75" customHeight="1">
      <c r="AK836" s="10"/>
    </row>
    <row r="837" ht="15.75" customHeight="1">
      <c r="AK837" s="10"/>
    </row>
    <row r="838" ht="15.75" customHeight="1">
      <c r="AK838" s="10"/>
    </row>
    <row r="839" ht="15.75" customHeight="1">
      <c r="AK839" s="10"/>
    </row>
    <row r="840" ht="15.75" customHeight="1">
      <c r="AK840" s="10"/>
    </row>
    <row r="841" ht="15.75" customHeight="1">
      <c r="AK841" s="10"/>
    </row>
    <row r="842" ht="15.75" customHeight="1">
      <c r="AK842" s="10"/>
    </row>
    <row r="843" ht="15.75" customHeight="1">
      <c r="AK843" s="10"/>
    </row>
    <row r="844" ht="15.75" customHeight="1">
      <c r="AK844" s="10"/>
    </row>
    <row r="845" ht="15.75" customHeight="1">
      <c r="AK845" s="10"/>
    </row>
    <row r="846" ht="15.75" customHeight="1">
      <c r="AK846" s="10"/>
    </row>
    <row r="847" ht="15.75" customHeight="1">
      <c r="AK847" s="10"/>
    </row>
    <row r="848" ht="15.75" customHeight="1">
      <c r="AK848" s="10"/>
    </row>
    <row r="849" ht="15.75" customHeight="1">
      <c r="AK849" s="10"/>
    </row>
    <row r="850" ht="15.75" customHeight="1">
      <c r="AK850" s="10"/>
    </row>
    <row r="851" ht="15.75" customHeight="1">
      <c r="AK851" s="10"/>
    </row>
    <row r="852" ht="15.75" customHeight="1">
      <c r="AK852" s="10"/>
    </row>
    <row r="853" ht="15.75" customHeight="1">
      <c r="AK853" s="10"/>
    </row>
    <row r="854" ht="15.75" customHeight="1">
      <c r="AK854" s="10"/>
    </row>
    <row r="855" ht="15.75" customHeight="1">
      <c r="AK855" s="10"/>
    </row>
    <row r="856" ht="15.75" customHeight="1">
      <c r="AK856" s="10"/>
    </row>
    <row r="857" ht="15.75" customHeight="1">
      <c r="AK857" s="10"/>
    </row>
    <row r="858" ht="15.75" customHeight="1">
      <c r="AK858" s="10"/>
    </row>
    <row r="859" ht="15.75" customHeight="1">
      <c r="AK859" s="10"/>
    </row>
    <row r="860" ht="15.75" customHeight="1">
      <c r="AK860" s="10"/>
    </row>
    <row r="861" ht="15.75" customHeight="1">
      <c r="AK861" s="10"/>
    </row>
    <row r="862" ht="15.75" customHeight="1">
      <c r="AK862" s="10"/>
    </row>
    <row r="863" ht="15.75" customHeight="1">
      <c r="AK863" s="10"/>
    </row>
    <row r="864" ht="15.75" customHeight="1">
      <c r="AK864" s="10"/>
    </row>
    <row r="865" ht="15.75" customHeight="1">
      <c r="AK865" s="10"/>
    </row>
    <row r="866" ht="15.75" customHeight="1">
      <c r="AK866" s="10"/>
    </row>
    <row r="867" ht="15.75" customHeight="1">
      <c r="AK867" s="10"/>
    </row>
    <row r="868" ht="15.75" customHeight="1">
      <c r="AK868" s="10"/>
    </row>
    <row r="869" ht="15.75" customHeight="1">
      <c r="AK869" s="10"/>
    </row>
    <row r="870" ht="15.75" customHeight="1">
      <c r="AK870" s="10"/>
    </row>
    <row r="871" ht="15.75" customHeight="1">
      <c r="AK871" s="10"/>
    </row>
    <row r="872" ht="15.75" customHeight="1">
      <c r="AK872" s="10"/>
    </row>
    <row r="873" ht="15.75" customHeight="1">
      <c r="AK873" s="10"/>
    </row>
    <row r="874" ht="15.75" customHeight="1">
      <c r="AK874" s="10"/>
    </row>
    <row r="875" ht="15.75" customHeight="1">
      <c r="AK875" s="10"/>
    </row>
    <row r="876" ht="15.75" customHeight="1">
      <c r="AK876" s="10"/>
    </row>
    <row r="877" ht="15.75" customHeight="1">
      <c r="AK877" s="10"/>
    </row>
    <row r="878" ht="15.75" customHeight="1">
      <c r="AK878" s="10"/>
    </row>
    <row r="879" ht="15.75" customHeight="1">
      <c r="AK879" s="10"/>
    </row>
    <row r="880" ht="15.75" customHeight="1">
      <c r="AK880" s="10"/>
    </row>
    <row r="881" ht="15.75" customHeight="1">
      <c r="AK881" s="10"/>
    </row>
    <row r="882" ht="15.75" customHeight="1">
      <c r="AK882" s="10"/>
    </row>
    <row r="883" ht="15.75" customHeight="1">
      <c r="AK883" s="10"/>
    </row>
    <row r="884" ht="15.75" customHeight="1">
      <c r="AK884" s="10"/>
    </row>
    <row r="885" ht="15.75" customHeight="1">
      <c r="AK885" s="10"/>
    </row>
    <row r="886" ht="15.75" customHeight="1">
      <c r="AK886" s="10"/>
    </row>
    <row r="887" ht="15.75" customHeight="1">
      <c r="AK887" s="10"/>
    </row>
    <row r="888" ht="15.75" customHeight="1">
      <c r="AK888" s="10"/>
    </row>
    <row r="889" ht="15.75" customHeight="1">
      <c r="AK889" s="10"/>
    </row>
    <row r="890" ht="15.75" customHeight="1">
      <c r="AK890" s="10"/>
    </row>
    <row r="891" ht="15.75" customHeight="1">
      <c r="AK891" s="10"/>
    </row>
    <row r="892" ht="15.75" customHeight="1">
      <c r="AK892" s="10"/>
    </row>
    <row r="893" ht="15.75" customHeight="1">
      <c r="AK893" s="10"/>
    </row>
    <row r="894" ht="15.75" customHeight="1">
      <c r="AK894" s="10"/>
    </row>
    <row r="895" ht="15.75" customHeight="1">
      <c r="AK895" s="10"/>
    </row>
    <row r="896" ht="15.75" customHeight="1">
      <c r="AK896" s="10"/>
    </row>
    <row r="897" ht="15.75" customHeight="1">
      <c r="AK897" s="10"/>
    </row>
    <row r="898" ht="15.75" customHeight="1">
      <c r="AK898" s="10"/>
    </row>
    <row r="899" ht="15.75" customHeight="1">
      <c r="AK899" s="10"/>
    </row>
    <row r="900" ht="15.75" customHeight="1">
      <c r="AK900" s="10"/>
    </row>
    <row r="901" ht="15.75" customHeight="1">
      <c r="AK901" s="10"/>
    </row>
    <row r="902" ht="15.75" customHeight="1">
      <c r="AK902" s="10"/>
    </row>
    <row r="903" ht="15.75" customHeight="1">
      <c r="AK903" s="10"/>
    </row>
    <row r="904" ht="15.75" customHeight="1">
      <c r="AK904" s="10"/>
    </row>
    <row r="905" ht="15.75" customHeight="1">
      <c r="AK905" s="10"/>
    </row>
    <row r="906" ht="15.75" customHeight="1">
      <c r="AK906" s="10"/>
    </row>
    <row r="907" ht="15.75" customHeight="1">
      <c r="AK907" s="10"/>
    </row>
    <row r="908" ht="15.75" customHeight="1">
      <c r="AK908" s="10"/>
    </row>
    <row r="909" ht="15.75" customHeight="1">
      <c r="AK909" s="10"/>
    </row>
    <row r="910" ht="15.75" customHeight="1">
      <c r="AK910" s="10"/>
    </row>
    <row r="911" ht="15.75" customHeight="1">
      <c r="AK911" s="10"/>
    </row>
    <row r="912" ht="15.75" customHeight="1">
      <c r="AK912" s="10"/>
    </row>
    <row r="913" ht="15.75" customHeight="1">
      <c r="AK913" s="10"/>
    </row>
    <row r="914" ht="15.75" customHeight="1">
      <c r="AK914" s="10"/>
    </row>
    <row r="915" ht="15.75" customHeight="1">
      <c r="AK915" s="10"/>
    </row>
    <row r="916" ht="15.75" customHeight="1">
      <c r="AK916" s="10"/>
    </row>
    <row r="917" ht="15.75" customHeight="1">
      <c r="AK917" s="10"/>
    </row>
    <row r="918" ht="15.75" customHeight="1">
      <c r="AK918" s="10"/>
    </row>
    <row r="919" ht="15.75" customHeight="1">
      <c r="AK919" s="10"/>
    </row>
    <row r="920" ht="15.75" customHeight="1">
      <c r="AK920" s="10"/>
    </row>
    <row r="921" ht="15.75" customHeight="1">
      <c r="AK921" s="10"/>
    </row>
    <row r="922" ht="15.75" customHeight="1">
      <c r="AK922" s="10"/>
    </row>
    <row r="923" ht="15.75" customHeight="1">
      <c r="AK923" s="10"/>
    </row>
    <row r="924" ht="15.75" customHeight="1">
      <c r="AK924" s="10"/>
    </row>
    <row r="925" ht="15.75" customHeight="1">
      <c r="AK925" s="10"/>
    </row>
    <row r="926" ht="15.75" customHeight="1">
      <c r="AK926" s="10"/>
    </row>
    <row r="927" ht="15.75" customHeight="1">
      <c r="AK927" s="10"/>
    </row>
    <row r="928" ht="15.75" customHeight="1">
      <c r="AK928" s="10"/>
    </row>
    <row r="929" ht="15.75" customHeight="1">
      <c r="AK929" s="10"/>
    </row>
    <row r="930" ht="15.75" customHeight="1">
      <c r="AK930" s="10"/>
    </row>
    <row r="931" ht="15.75" customHeight="1">
      <c r="AK931" s="10"/>
    </row>
    <row r="932" ht="15.75" customHeight="1">
      <c r="AK932" s="10"/>
    </row>
    <row r="933" ht="15.75" customHeight="1">
      <c r="AK933" s="10"/>
    </row>
    <row r="934" ht="15.75" customHeight="1">
      <c r="AK934" s="10"/>
    </row>
    <row r="935" ht="15.75" customHeight="1">
      <c r="AK935" s="10"/>
    </row>
    <row r="936" ht="15.75" customHeight="1">
      <c r="AK936" s="10"/>
    </row>
    <row r="937" ht="15.75" customHeight="1">
      <c r="AK937" s="10"/>
    </row>
    <row r="938" ht="15.75" customHeight="1">
      <c r="AK938" s="10"/>
    </row>
    <row r="939" ht="15.75" customHeight="1">
      <c r="AK939" s="10"/>
    </row>
    <row r="940" ht="15.75" customHeight="1">
      <c r="AK940" s="10"/>
    </row>
    <row r="941" ht="15.75" customHeight="1">
      <c r="AK941" s="10"/>
    </row>
    <row r="942" ht="15.75" customHeight="1">
      <c r="AK942" s="10"/>
    </row>
    <row r="943" ht="15.75" customHeight="1">
      <c r="AK943" s="10"/>
    </row>
    <row r="944" ht="15.75" customHeight="1">
      <c r="AK944" s="10"/>
    </row>
    <row r="945" ht="15.75" customHeight="1">
      <c r="AK945" s="10"/>
    </row>
    <row r="946" ht="15.75" customHeight="1">
      <c r="AK946" s="10"/>
    </row>
    <row r="947" ht="15.75" customHeight="1">
      <c r="AK947" s="10"/>
    </row>
    <row r="948" ht="15.75" customHeight="1">
      <c r="AK948" s="10"/>
    </row>
    <row r="949" ht="15.75" customHeight="1">
      <c r="AK949" s="10"/>
    </row>
    <row r="950" ht="15.75" customHeight="1">
      <c r="AK950" s="10"/>
    </row>
    <row r="951" ht="15.75" customHeight="1">
      <c r="AK951" s="10"/>
    </row>
    <row r="952" ht="15.75" customHeight="1">
      <c r="AK952" s="10"/>
    </row>
    <row r="953" ht="15.75" customHeight="1">
      <c r="AK953" s="10"/>
    </row>
    <row r="954" ht="15.75" customHeight="1">
      <c r="AK954" s="10"/>
    </row>
    <row r="955" ht="15.75" customHeight="1">
      <c r="AK955" s="10"/>
    </row>
    <row r="956" ht="15.75" customHeight="1">
      <c r="AK956" s="10"/>
    </row>
    <row r="957" ht="15.75" customHeight="1">
      <c r="AK957" s="10"/>
    </row>
    <row r="958" ht="15.75" customHeight="1">
      <c r="AK958" s="10"/>
    </row>
    <row r="959" ht="15.75" customHeight="1">
      <c r="AK959" s="10"/>
    </row>
    <row r="960" ht="15.75" customHeight="1">
      <c r="AK960" s="10"/>
    </row>
    <row r="961" ht="15.75" customHeight="1">
      <c r="AK961" s="10"/>
    </row>
    <row r="962" ht="15.75" customHeight="1">
      <c r="AK962" s="10"/>
    </row>
    <row r="963" ht="15.75" customHeight="1">
      <c r="AK963" s="10"/>
    </row>
    <row r="964" ht="15.75" customHeight="1">
      <c r="AK964" s="10"/>
    </row>
    <row r="965" ht="15.75" customHeight="1">
      <c r="AK965" s="10"/>
    </row>
    <row r="966" ht="15.75" customHeight="1">
      <c r="AK966" s="10"/>
    </row>
    <row r="967" ht="15.75" customHeight="1">
      <c r="AK967" s="10"/>
    </row>
    <row r="968" ht="15.75" customHeight="1">
      <c r="AK968" s="10"/>
    </row>
    <row r="969" ht="15.75" customHeight="1">
      <c r="AK969" s="10"/>
    </row>
    <row r="970" ht="15.75" customHeight="1">
      <c r="AK970" s="10"/>
    </row>
    <row r="971" ht="15.75" customHeight="1">
      <c r="AK971" s="10"/>
    </row>
    <row r="972" ht="15.75" customHeight="1">
      <c r="AK972" s="10"/>
    </row>
    <row r="973" ht="15.75" customHeight="1">
      <c r="AK973" s="10"/>
    </row>
    <row r="974" ht="15.75" customHeight="1">
      <c r="AK974" s="10"/>
    </row>
    <row r="975" ht="15.75" customHeight="1">
      <c r="AK975" s="10"/>
    </row>
    <row r="976" ht="15.75" customHeight="1">
      <c r="AK976" s="10"/>
    </row>
    <row r="977" ht="15.75" customHeight="1">
      <c r="AK977" s="10"/>
    </row>
    <row r="978" ht="15.75" customHeight="1">
      <c r="AK978" s="10"/>
    </row>
    <row r="979" ht="15.75" customHeight="1">
      <c r="AK979" s="10"/>
    </row>
    <row r="980" ht="15.75" customHeight="1">
      <c r="AK980" s="10"/>
    </row>
    <row r="981" ht="15.75" customHeight="1">
      <c r="AK981" s="10"/>
    </row>
    <row r="982" ht="15.75" customHeight="1">
      <c r="AK982" s="10"/>
    </row>
    <row r="983" ht="15.75" customHeight="1">
      <c r="AK983" s="10"/>
    </row>
    <row r="984" ht="15.75" customHeight="1">
      <c r="AK984" s="10"/>
    </row>
    <row r="985" ht="15.75" customHeight="1">
      <c r="AK985" s="10"/>
    </row>
    <row r="986" ht="15.75" customHeight="1">
      <c r="AK986" s="10"/>
    </row>
    <row r="987" ht="15.75" customHeight="1">
      <c r="AK987" s="10"/>
    </row>
    <row r="988" ht="15.75" customHeight="1">
      <c r="AK988" s="10"/>
    </row>
    <row r="989" ht="15.75" customHeight="1">
      <c r="AK989" s="10"/>
    </row>
    <row r="990" ht="15.75" customHeight="1">
      <c r="AK990" s="10"/>
    </row>
    <row r="991" ht="15.75" customHeight="1">
      <c r="AK991" s="10"/>
    </row>
    <row r="992" ht="15.75" customHeight="1">
      <c r="AK992" s="10"/>
    </row>
    <row r="993" ht="15.75" customHeight="1">
      <c r="AK993" s="10"/>
    </row>
    <row r="994" ht="15.75" customHeight="1">
      <c r="AK994" s="10"/>
    </row>
    <row r="995" ht="15.75" customHeight="1">
      <c r="AK995" s="10"/>
    </row>
    <row r="996" ht="15.75" customHeight="1">
      <c r="AK996" s="10"/>
    </row>
    <row r="997" ht="15.75" customHeight="1">
      <c r="AK997" s="10"/>
    </row>
    <row r="998" ht="15.75" customHeight="1">
      <c r="AK998" s="10"/>
    </row>
    <row r="999" ht="15.75" customHeight="1">
      <c r="AK999" s="10"/>
    </row>
    <row r="1000" ht="15.75" customHeight="1">
      <c r="AK1000" s="10"/>
    </row>
  </sheetData>
  <autoFilter ref="$C$2:$C$140"/>
  <hyperlinks>
    <hyperlink r:id="rId2" location="/food-details/169190/nutrients" ref="A3"/>
    <hyperlink r:id="rId3" ref="A4"/>
    <hyperlink r:id="rId4" location="/food-details/171105/nutrients" ref="A5"/>
    <hyperlink r:id="rId5" location="/food-details/167813/nutrients" ref="A6"/>
    <hyperlink r:id="rId6" location="/food-details/172855/nutrients" ref="A7"/>
    <hyperlink r:id="rId7" location="/food-details/168224/nutrients" ref="A8"/>
    <hyperlink r:id="rId8" location="/food-details/167888/nutrients" ref="A10"/>
    <hyperlink r:id="rId9" ref="A12"/>
    <hyperlink r:id="rId10" ref="A13"/>
    <hyperlink r:id="rId11" location="/food-details/614990/nutrients" ref="A14"/>
    <hyperlink r:id="rId12" location="/food-details/175290/nutrients" ref="A15"/>
    <hyperlink r:id="rId13" location="/food-details/2646170/nutrients" ref="A17"/>
    <hyperlink r:id="rId14" location="/food-details/2341308/nutrients" ref="A20"/>
    <hyperlink r:id="rId15" ref="A22"/>
    <hyperlink r:id="rId16" location="/food-details/168269/nutrients" ref="A23"/>
    <hyperlink r:id="rId17" location="/food-details/167812/nutrients" ref="A24"/>
    <hyperlink r:id="rId18" ref="A25"/>
    <hyperlink r:id="rId19" location="/food-details/173647/nutrients" ref="A45"/>
    <hyperlink r:id="rId20" location="/food-details/172237/nutrients" ref="A64"/>
    <hyperlink r:id="rId21" location="/food-details/169246/nutrients" ref="A77"/>
    <hyperlink r:id="rId22" location="/food-details/170461/nutrients" ref="A78"/>
    <hyperlink r:id="rId23" location="/food-details/170932/nutrients" ref="A79"/>
    <hyperlink r:id="rId24" ref="A81"/>
  </hyperlinks>
  <printOptions/>
  <pageMargins bottom="0.75" footer="0.0" header="0.0" left="0.7" right="0.7" top="0.75"/>
  <pageSetup orientation="landscape"/>
  <drawing r:id="rId25"/>
  <legacyDrawing r:id="rId26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3.0" ySplit="2.0" topLeftCell="D3" activePane="bottomRight" state="frozen"/>
      <selection activeCell="D1" sqref="D1" pane="topRight"/>
      <selection activeCell="A3" sqref="A3" pane="bottomLeft"/>
      <selection activeCell="D3" sqref="D3" pane="bottomRight"/>
    </sheetView>
  </sheetViews>
  <sheetFormatPr customHeight="1" defaultColWidth="14.43" defaultRowHeight="15.0"/>
  <cols>
    <col customWidth="1" min="1" max="1" width="17.71"/>
    <col customWidth="1" min="2" max="2" width="20.86"/>
    <col customWidth="1" min="3" max="3" width="39.29"/>
    <col customWidth="1" min="4" max="14" width="11.43"/>
    <col customWidth="1" min="15" max="15" width="12.14"/>
    <col customWidth="1" min="16" max="37" width="11.43"/>
  </cols>
  <sheetData>
    <row r="1">
      <c r="AK1" s="10"/>
    </row>
    <row r="2">
      <c r="C2" s="1" t="s">
        <v>0</v>
      </c>
      <c r="D2" s="11" t="s">
        <v>1</v>
      </c>
      <c r="E2" s="11" t="s">
        <v>2</v>
      </c>
      <c r="F2" s="11" t="s">
        <v>3</v>
      </c>
      <c r="G2" s="11" t="s">
        <v>4</v>
      </c>
      <c r="H2" s="11" t="s">
        <v>5</v>
      </c>
      <c r="I2" s="11" t="s">
        <v>6</v>
      </c>
      <c r="J2" s="11" t="s">
        <v>7</v>
      </c>
      <c r="K2" s="11" t="s">
        <v>8</v>
      </c>
      <c r="L2" s="16" t="s">
        <v>9</v>
      </c>
      <c r="M2" s="4" t="s">
        <v>10</v>
      </c>
      <c r="N2" s="18" t="s">
        <v>11</v>
      </c>
      <c r="O2" s="11" t="s">
        <v>12</v>
      </c>
      <c r="P2" s="11" t="s">
        <v>13</v>
      </c>
      <c r="Q2" s="11" t="s">
        <v>14</v>
      </c>
      <c r="R2" s="11" t="s">
        <v>15</v>
      </c>
      <c r="S2" s="11" t="s">
        <v>16</v>
      </c>
      <c r="T2" s="16" t="s">
        <v>17</v>
      </c>
      <c r="U2" s="20" t="s">
        <v>18</v>
      </c>
      <c r="V2" s="23" t="s">
        <v>19</v>
      </c>
      <c r="W2" s="23" t="s">
        <v>20</v>
      </c>
      <c r="X2" s="27" t="s">
        <v>21</v>
      </c>
      <c r="Y2" s="23" t="s">
        <v>22</v>
      </c>
      <c r="Z2" s="23" t="s">
        <v>23</v>
      </c>
      <c r="AA2" s="9" t="s">
        <v>24</v>
      </c>
      <c r="AB2" s="9" t="s">
        <v>25</v>
      </c>
      <c r="AC2" s="9" t="s">
        <v>26</v>
      </c>
      <c r="AD2" s="9" t="s">
        <v>27</v>
      </c>
      <c r="AE2" s="9" t="s">
        <v>28</v>
      </c>
      <c r="AF2" s="9" t="s">
        <v>29</v>
      </c>
      <c r="AG2" s="9" t="s">
        <v>30</v>
      </c>
      <c r="AH2" s="9" t="s">
        <v>31</v>
      </c>
      <c r="AI2" s="9" t="s">
        <v>32</v>
      </c>
      <c r="AJ2" s="12" t="s">
        <v>33</v>
      </c>
      <c r="AK2" s="12" t="s">
        <v>34</v>
      </c>
    </row>
    <row r="3">
      <c r="A3" s="37" t="s">
        <v>39</v>
      </c>
      <c r="B3" s="38" t="s">
        <v>41</v>
      </c>
      <c r="C3" s="39" t="s">
        <v>42</v>
      </c>
      <c r="D3" s="40">
        <v>73.6</v>
      </c>
      <c r="E3" s="41">
        <v>4.0</v>
      </c>
      <c r="F3" s="41">
        <v>1.42</v>
      </c>
      <c r="G3" s="41">
        <v>0.032</v>
      </c>
      <c r="H3" s="41">
        <v>59.0</v>
      </c>
      <c r="I3" s="41">
        <v>21.1</v>
      </c>
      <c r="J3" s="41">
        <v>0.21</v>
      </c>
      <c r="K3" s="41">
        <v>0.0</v>
      </c>
      <c r="L3" s="42">
        <v>0.0</v>
      </c>
      <c r="M3" s="43">
        <v>0.0</v>
      </c>
      <c r="N3" s="40">
        <v>0.0</v>
      </c>
      <c r="O3" s="41">
        <v>67.0</v>
      </c>
      <c r="P3" s="41">
        <v>15.0</v>
      </c>
      <c r="Q3" s="41">
        <v>0.86</v>
      </c>
      <c r="R3" s="41">
        <v>1.93</v>
      </c>
      <c r="S3" s="41">
        <v>0.0</v>
      </c>
      <c r="T3" s="42">
        <v>0.1</v>
      </c>
      <c r="X3" s="39">
        <v>190.0</v>
      </c>
      <c r="AK3" s="10"/>
    </row>
    <row r="4">
      <c r="A4" s="45" t="s">
        <v>43</v>
      </c>
      <c r="B4" s="38" t="s">
        <v>41</v>
      </c>
      <c r="C4" s="39" t="s">
        <v>45</v>
      </c>
      <c r="D4" s="47">
        <v>70.1</v>
      </c>
      <c r="E4" s="47">
        <v>8.33</v>
      </c>
      <c r="F4" s="47">
        <v>2.76</v>
      </c>
      <c r="G4" s="47">
        <v>0.081</v>
      </c>
      <c r="H4" s="47">
        <v>64.0</v>
      </c>
      <c r="I4" s="47">
        <v>21.3</v>
      </c>
      <c r="J4" s="47">
        <v>0.0</v>
      </c>
      <c r="K4" s="47">
        <v>0.0</v>
      </c>
      <c r="L4" s="47">
        <v>0.0</v>
      </c>
      <c r="M4" s="43">
        <v>0.0</v>
      </c>
      <c r="N4" s="47">
        <v>0.0</v>
      </c>
      <c r="O4" s="47">
        <v>47.0</v>
      </c>
      <c r="P4" s="47">
        <v>7.0</v>
      </c>
      <c r="Q4" s="47">
        <v>0.53</v>
      </c>
      <c r="R4" s="47">
        <v>1.73</v>
      </c>
      <c r="S4" s="41">
        <v>2.0</v>
      </c>
      <c r="T4" s="42">
        <v>0.5</v>
      </c>
      <c r="X4" s="39">
        <v>216.0</v>
      </c>
      <c r="AK4" s="10"/>
    </row>
    <row r="5">
      <c r="A5" s="37" t="s">
        <v>48</v>
      </c>
      <c r="B5" s="38" t="s">
        <v>41</v>
      </c>
      <c r="C5" s="39" t="s">
        <v>47</v>
      </c>
      <c r="D5" s="50">
        <v>69.3</v>
      </c>
      <c r="E5" s="50">
        <v>15.5</v>
      </c>
      <c r="F5" s="50">
        <v>4.71</v>
      </c>
      <c r="G5" s="50">
        <v>0.0</v>
      </c>
      <c r="H5" s="50">
        <v>104.0</v>
      </c>
      <c r="I5" s="50">
        <v>13.8</v>
      </c>
      <c r="J5" s="41">
        <v>0.0</v>
      </c>
      <c r="K5" s="41">
        <v>0.0</v>
      </c>
      <c r="L5" s="42">
        <v>0.0</v>
      </c>
      <c r="M5" s="43">
        <v>0.0</v>
      </c>
      <c r="N5" s="40">
        <v>0.0</v>
      </c>
      <c r="O5" s="41">
        <v>51.0</v>
      </c>
      <c r="P5" s="41">
        <v>123.0</v>
      </c>
      <c r="Q5" s="41">
        <v>1.73</v>
      </c>
      <c r="R5" s="41">
        <v>1.82</v>
      </c>
      <c r="S5" s="41">
        <v>32.0</v>
      </c>
      <c r="T5" s="42">
        <v>0.0</v>
      </c>
      <c r="X5" s="39">
        <v>154.0</v>
      </c>
      <c r="AK5" s="10"/>
    </row>
    <row r="6">
      <c r="A6" s="55" t="s">
        <v>49</v>
      </c>
      <c r="B6" s="39" t="s">
        <v>41</v>
      </c>
      <c r="C6" s="39" t="s">
        <v>50</v>
      </c>
      <c r="D6" s="56">
        <v>10.8</v>
      </c>
      <c r="E6" s="50">
        <v>85.8</v>
      </c>
      <c r="F6" s="50">
        <v>34.6</v>
      </c>
      <c r="G6" s="50">
        <v>0.0</v>
      </c>
      <c r="H6" s="50">
        <v>70.0</v>
      </c>
      <c r="I6" s="50">
        <v>2.9</v>
      </c>
      <c r="J6" s="41">
        <v>0.0</v>
      </c>
      <c r="K6" s="41">
        <v>0.0</v>
      </c>
      <c r="L6" s="42">
        <v>0.0</v>
      </c>
      <c r="M6" s="43">
        <v>0.0</v>
      </c>
      <c r="N6" s="40">
        <v>0.0</v>
      </c>
      <c r="O6" s="41">
        <v>22.0</v>
      </c>
      <c r="P6" s="41">
        <v>6.0</v>
      </c>
      <c r="Q6" s="41">
        <v>1.1</v>
      </c>
      <c r="R6" s="41">
        <v>0.8</v>
      </c>
      <c r="S6" s="41">
        <v>10.0</v>
      </c>
      <c r="T6" s="42">
        <v>0.0</v>
      </c>
      <c r="X6" s="39">
        <v>37.0</v>
      </c>
      <c r="AK6" s="10"/>
    </row>
    <row r="7">
      <c r="A7" s="57" t="s">
        <v>51</v>
      </c>
      <c r="B7" s="39" t="s">
        <v>41</v>
      </c>
      <c r="C7" s="39" t="s">
        <v>52</v>
      </c>
      <c r="D7" s="58">
        <v>44.9</v>
      </c>
      <c r="E7" s="58">
        <v>44.2</v>
      </c>
      <c r="F7" s="58">
        <v>12.1</v>
      </c>
      <c r="G7" s="58">
        <v>0.229</v>
      </c>
      <c r="H7" s="58">
        <v>105.0</v>
      </c>
      <c r="I7" s="58">
        <v>9.58</v>
      </c>
      <c r="J7" s="59">
        <v>0.79</v>
      </c>
      <c r="K7" s="59">
        <v>0.0</v>
      </c>
      <c r="L7" s="60">
        <v>0.0</v>
      </c>
      <c r="M7" s="61">
        <v>0.0</v>
      </c>
      <c r="N7" s="62">
        <v>0.0</v>
      </c>
      <c r="O7" s="59">
        <v>51.0</v>
      </c>
      <c r="P7" s="59">
        <v>6.0</v>
      </c>
      <c r="Q7" s="59">
        <v>0.37</v>
      </c>
      <c r="R7" s="59">
        <v>0.65</v>
      </c>
      <c r="S7" s="59">
        <v>59.0</v>
      </c>
      <c r="T7" s="59">
        <v>0.2</v>
      </c>
      <c r="X7" s="39">
        <v>95.0</v>
      </c>
      <c r="AK7" s="10"/>
    </row>
    <row r="8">
      <c r="A8" s="37" t="s">
        <v>53</v>
      </c>
      <c r="B8" s="39" t="s">
        <v>41</v>
      </c>
      <c r="C8" s="39" t="s">
        <v>54</v>
      </c>
      <c r="D8" s="58">
        <v>72.9</v>
      </c>
      <c r="E8" s="58">
        <v>5.41</v>
      </c>
      <c r="F8" s="58">
        <v>1.87</v>
      </c>
      <c r="G8" s="58">
        <v>0.0</v>
      </c>
      <c r="H8" s="58">
        <v>68.0</v>
      </c>
      <c r="I8" s="58">
        <v>20.5</v>
      </c>
      <c r="J8" s="59">
        <v>0.0</v>
      </c>
      <c r="K8" s="41">
        <v>0.0</v>
      </c>
      <c r="L8" s="60">
        <v>0.0</v>
      </c>
      <c r="M8" s="61">
        <v>0.0</v>
      </c>
      <c r="N8" s="62">
        <v>0.0</v>
      </c>
      <c r="O8" s="59">
        <v>55.0</v>
      </c>
      <c r="P8" s="59">
        <v>6.0</v>
      </c>
      <c r="Q8" s="59">
        <v>1.01</v>
      </c>
      <c r="R8" s="59">
        <v>2.27</v>
      </c>
      <c r="S8" s="41">
        <v>2.0</v>
      </c>
      <c r="T8" s="42">
        <v>0.6</v>
      </c>
      <c r="X8" s="39">
        <v>229.0</v>
      </c>
      <c r="AK8" s="10"/>
    </row>
    <row r="9">
      <c r="A9" s="37" t="s">
        <v>55</v>
      </c>
      <c r="B9" s="39" t="s">
        <v>41</v>
      </c>
      <c r="C9" s="39" t="s">
        <v>56</v>
      </c>
      <c r="D9" s="61">
        <v>68.6</v>
      </c>
      <c r="E9" s="61">
        <v>10.6</v>
      </c>
      <c r="F9" s="61">
        <v>3.53</v>
      </c>
      <c r="G9" s="61">
        <v>0.091</v>
      </c>
      <c r="H9" s="61">
        <v>63.0</v>
      </c>
      <c r="I9" s="61">
        <v>20.3</v>
      </c>
      <c r="J9" s="63">
        <v>0.0</v>
      </c>
      <c r="K9" s="47">
        <v>0.0</v>
      </c>
      <c r="L9" s="63">
        <v>0.0</v>
      </c>
      <c r="M9" s="61">
        <v>0.0</v>
      </c>
      <c r="N9" s="63">
        <v>0.0</v>
      </c>
      <c r="O9" s="63">
        <v>73.0</v>
      </c>
      <c r="P9" s="63">
        <v>12.0</v>
      </c>
      <c r="Q9" s="63">
        <v>0.62</v>
      </c>
      <c r="R9" s="63">
        <v>1.7</v>
      </c>
      <c r="S9" s="41">
        <v>5.0</v>
      </c>
      <c r="T9" s="42">
        <v>0.5</v>
      </c>
      <c r="X9" s="39">
        <v>216.0</v>
      </c>
      <c r="AK9" s="10"/>
    </row>
    <row r="10">
      <c r="A10" s="57" t="s">
        <v>57</v>
      </c>
      <c r="B10" s="39" t="s">
        <v>41</v>
      </c>
      <c r="C10" s="39" t="s">
        <v>58</v>
      </c>
      <c r="D10" s="64">
        <v>65.1</v>
      </c>
      <c r="E10" s="64">
        <v>15.0</v>
      </c>
      <c r="F10" s="64">
        <v>5.28</v>
      </c>
      <c r="G10" s="64">
        <v>0.0</v>
      </c>
      <c r="H10" s="64">
        <v>67.0</v>
      </c>
      <c r="I10" s="64">
        <v>19.0</v>
      </c>
      <c r="J10" s="65">
        <v>0.0</v>
      </c>
      <c r="K10" s="65">
        <v>0.0</v>
      </c>
      <c r="L10" s="66">
        <v>0.0</v>
      </c>
      <c r="M10" s="61">
        <v>0.0</v>
      </c>
      <c r="N10" s="67">
        <v>0.0</v>
      </c>
      <c r="O10" s="65">
        <v>55.0</v>
      </c>
      <c r="P10" s="65">
        <v>19.0</v>
      </c>
      <c r="Q10" s="65">
        <v>0.86</v>
      </c>
      <c r="R10" s="64">
        <v>2.01</v>
      </c>
      <c r="S10" s="58">
        <v>2.0</v>
      </c>
      <c r="T10" s="58">
        <v>0.0</v>
      </c>
      <c r="X10" s="39">
        <v>200.0</v>
      </c>
      <c r="AK10" s="10"/>
    </row>
    <row r="11">
      <c r="A11" s="68"/>
      <c r="B11" s="39" t="s">
        <v>41</v>
      </c>
      <c r="C11" s="39" t="s">
        <v>59</v>
      </c>
      <c r="D11" s="69">
        <v>65.96242673514138</v>
      </c>
      <c r="E11" s="69">
        <v>10.39665791930552</v>
      </c>
      <c r="F11" s="69">
        <v>3.146299510192448</v>
      </c>
      <c r="G11" s="69">
        <v>0.02049854057851798</v>
      </c>
      <c r="H11" s="69">
        <v>38.86714488952452</v>
      </c>
      <c r="I11" s="69">
        <v>12.279407688903447</v>
      </c>
      <c r="J11" s="70">
        <v>6.841206854305381</v>
      </c>
      <c r="K11" s="70">
        <v>0.14621872069968223</v>
      </c>
      <c r="L11" s="71">
        <v>0.0</v>
      </c>
      <c r="M11" s="72">
        <v>4.295832760349341</v>
      </c>
      <c r="N11" s="73">
        <v>0.878041001299769</v>
      </c>
      <c r="O11" s="70">
        <v>777.5</v>
      </c>
      <c r="P11" s="70">
        <v>41.22452291544256</v>
      </c>
      <c r="Q11" s="70">
        <v>0.8357459401479674</v>
      </c>
      <c r="R11" s="69">
        <v>0.7710720809695139</v>
      </c>
      <c r="S11" s="74">
        <v>11.459190454878447</v>
      </c>
      <c r="T11" s="74">
        <v>0.051859493490485145</v>
      </c>
      <c r="U11" s="75">
        <v>1.32</v>
      </c>
      <c r="V11" s="75">
        <v>0.01</v>
      </c>
      <c r="W11" s="75">
        <v>0.4</v>
      </c>
      <c r="X11" s="26">
        <v>178.43</v>
      </c>
      <c r="Y11" s="76">
        <v>0.05</v>
      </c>
      <c r="Z11" s="77">
        <v>3.0E-4</v>
      </c>
      <c r="AA11" s="39">
        <v>0.0084</v>
      </c>
      <c r="AC11" s="39">
        <v>0.3</v>
      </c>
      <c r="AH11" s="39">
        <v>0.17</v>
      </c>
      <c r="AI11" s="39">
        <v>0.012</v>
      </c>
      <c r="AK11" s="10" t="s">
        <v>60</v>
      </c>
    </row>
    <row r="12">
      <c r="A12" s="78" t="s">
        <v>61</v>
      </c>
      <c r="B12" s="39" t="s">
        <v>41</v>
      </c>
      <c r="C12" s="39" t="s">
        <v>62</v>
      </c>
      <c r="D12" s="64">
        <v>51.4</v>
      </c>
      <c r="E12" s="69">
        <v>13.0</v>
      </c>
      <c r="F12" s="69">
        <v>0.0</v>
      </c>
      <c r="G12" s="69">
        <v>0.0</v>
      </c>
      <c r="H12" s="69">
        <v>0.0</v>
      </c>
      <c r="I12" s="69">
        <v>34.5</v>
      </c>
      <c r="J12" s="70">
        <v>0.3</v>
      </c>
      <c r="K12" s="70">
        <v>0.0</v>
      </c>
      <c r="L12" s="71">
        <v>0.0</v>
      </c>
      <c r="M12" s="72">
        <v>0.0</v>
      </c>
      <c r="N12" s="73">
        <v>0.0</v>
      </c>
      <c r="O12" s="79">
        <v>185.3</v>
      </c>
      <c r="P12" s="70">
        <v>0.0</v>
      </c>
      <c r="Q12" s="70">
        <v>0.0</v>
      </c>
      <c r="R12" s="69">
        <v>0.0</v>
      </c>
      <c r="S12" s="74">
        <v>0.0</v>
      </c>
      <c r="T12" s="74">
        <v>0.0</v>
      </c>
      <c r="U12" s="76"/>
      <c r="V12" s="76"/>
      <c r="W12" s="76"/>
      <c r="X12" s="80"/>
      <c r="Y12" s="76"/>
      <c r="Z12" s="77"/>
      <c r="AK12" s="10"/>
    </row>
    <row r="13">
      <c r="A13" s="78" t="s">
        <v>61</v>
      </c>
      <c r="B13" s="39" t="s">
        <v>63</v>
      </c>
      <c r="C13" s="39" t="s">
        <v>64</v>
      </c>
      <c r="D13" s="69">
        <v>81.7</v>
      </c>
      <c r="E13" s="69">
        <v>5.6</v>
      </c>
      <c r="F13" s="69">
        <v>0.0</v>
      </c>
      <c r="G13" s="81">
        <v>0.0</v>
      </c>
      <c r="H13" s="82">
        <v>0.0</v>
      </c>
      <c r="I13" s="69">
        <v>10.9</v>
      </c>
      <c r="J13" s="82">
        <v>1.6</v>
      </c>
      <c r="K13" s="81">
        <v>0.0</v>
      </c>
      <c r="L13" s="83">
        <v>0.0</v>
      </c>
      <c r="M13" s="84">
        <v>0.0</v>
      </c>
      <c r="N13" s="85">
        <v>0.011013722162007404</v>
      </c>
      <c r="O13" s="69">
        <v>46.17</v>
      </c>
      <c r="P13" s="86">
        <v>0.0</v>
      </c>
      <c r="Q13" s="86">
        <v>0.0</v>
      </c>
      <c r="R13" s="82">
        <v>0.0</v>
      </c>
      <c r="S13" s="87">
        <v>0.0</v>
      </c>
      <c r="T13" s="88">
        <v>0.0</v>
      </c>
      <c r="U13" s="39">
        <v>0.05</v>
      </c>
      <c r="W13" s="39">
        <v>0.01</v>
      </c>
      <c r="X13" s="26">
        <v>3.44</v>
      </c>
      <c r="AK13" s="10"/>
    </row>
    <row r="14">
      <c r="A14" s="68" t="s">
        <v>65</v>
      </c>
      <c r="B14" s="39" t="s">
        <v>41</v>
      </c>
      <c r="C14" s="39" t="s">
        <v>66</v>
      </c>
      <c r="D14" s="64">
        <f>100-(E14+I14+J14)</f>
        <v>61.72</v>
      </c>
      <c r="E14" s="64">
        <v>25.0</v>
      </c>
      <c r="F14" s="64">
        <v>8.48</v>
      </c>
      <c r="G14" s="64">
        <v>0.0</v>
      </c>
      <c r="H14" s="64">
        <v>68.0</v>
      </c>
      <c r="I14" s="64">
        <v>13.28</v>
      </c>
      <c r="J14" s="65">
        <v>0.0</v>
      </c>
      <c r="K14" s="65">
        <v>0.0</v>
      </c>
      <c r="L14" s="66">
        <v>0.0</v>
      </c>
      <c r="M14" s="61">
        <v>0.0</v>
      </c>
      <c r="N14" s="67">
        <v>0.0</v>
      </c>
      <c r="O14" s="65">
        <v>62.0</v>
      </c>
      <c r="P14" s="65">
        <v>14.0</v>
      </c>
      <c r="Q14" s="65">
        <v>0.96</v>
      </c>
      <c r="R14" s="64">
        <v>0.0</v>
      </c>
      <c r="S14" s="58">
        <v>0.0</v>
      </c>
      <c r="T14" s="58">
        <v>0.0</v>
      </c>
      <c r="AK14" s="10"/>
    </row>
    <row r="15">
      <c r="A15" s="89" t="s">
        <v>67</v>
      </c>
      <c r="B15" s="39" t="s">
        <v>41</v>
      </c>
      <c r="C15" s="39" t="s">
        <v>68</v>
      </c>
      <c r="D15" s="90">
        <v>66.2</v>
      </c>
      <c r="E15" s="91">
        <v>13.1</v>
      </c>
      <c r="F15" s="91">
        <v>5.11</v>
      </c>
      <c r="G15" s="91">
        <v>0.696</v>
      </c>
      <c r="H15" s="91">
        <v>49.0</v>
      </c>
      <c r="I15" s="91">
        <v>18.6</v>
      </c>
      <c r="J15" s="91">
        <v>0.0</v>
      </c>
      <c r="K15" s="91">
        <v>0.0</v>
      </c>
      <c r="L15" s="92">
        <v>0.0</v>
      </c>
      <c r="M15" s="61">
        <v>0.0</v>
      </c>
      <c r="N15" s="90">
        <v>0.0</v>
      </c>
      <c r="O15" s="91">
        <v>103.0</v>
      </c>
      <c r="P15" s="91">
        <v>12.0</v>
      </c>
      <c r="Q15" s="91">
        <v>1.37</v>
      </c>
      <c r="R15" s="93">
        <v>2.51</v>
      </c>
      <c r="S15" s="94">
        <v>0.0</v>
      </c>
      <c r="T15" s="95">
        <v>0.0</v>
      </c>
      <c r="X15" s="39">
        <v>197.0</v>
      </c>
      <c r="AK15" s="10"/>
    </row>
    <row r="16">
      <c r="A16" s="38" t="s">
        <v>69</v>
      </c>
      <c r="B16" s="39" t="s">
        <v>41</v>
      </c>
      <c r="C16" s="39" t="s">
        <v>70</v>
      </c>
      <c r="D16" s="96">
        <v>72.6077</v>
      </c>
      <c r="E16" s="96">
        <v>9.386499999999998</v>
      </c>
      <c r="F16" s="96">
        <v>3.6616500000000003</v>
      </c>
      <c r="G16" s="96">
        <v>0.49763999999999997</v>
      </c>
      <c r="H16" s="96">
        <v>35.035</v>
      </c>
      <c r="I16" s="96">
        <v>14.049000000000001</v>
      </c>
      <c r="J16" s="96">
        <v>0.02</v>
      </c>
      <c r="K16" s="96">
        <v>0.0</v>
      </c>
      <c r="L16" s="96">
        <v>0.0</v>
      </c>
      <c r="M16" s="97">
        <v>0.0</v>
      </c>
      <c r="N16" s="96">
        <v>0.0</v>
      </c>
      <c r="O16" s="96">
        <v>585.3810000000001</v>
      </c>
      <c r="P16" s="96">
        <v>10.259</v>
      </c>
      <c r="Q16" s="96">
        <v>0.97955</v>
      </c>
      <c r="R16" s="97">
        <v>1.7946499999999999</v>
      </c>
      <c r="S16" s="97">
        <v>0.0</v>
      </c>
      <c r="T16" s="97">
        <v>0.0</v>
      </c>
      <c r="U16" s="97">
        <v>1.08</v>
      </c>
      <c r="W16" s="97">
        <v>0.4</v>
      </c>
      <c r="X16" s="97">
        <v>228.0</v>
      </c>
      <c r="AD16" s="39">
        <v>0.72</v>
      </c>
      <c r="AK16" s="10"/>
    </row>
    <row r="17">
      <c r="A17" s="37" t="s">
        <v>71</v>
      </c>
      <c r="B17" s="39" t="s">
        <v>41</v>
      </c>
      <c r="C17" s="39" t="s">
        <v>72</v>
      </c>
      <c r="D17" s="43">
        <v>74.8</v>
      </c>
      <c r="E17" s="43">
        <v>1.93</v>
      </c>
      <c r="F17" s="43">
        <v>0.349</v>
      </c>
      <c r="G17" s="43">
        <v>0.009</v>
      </c>
      <c r="H17" s="43">
        <v>73.0</v>
      </c>
      <c r="I17" s="43">
        <v>22.5</v>
      </c>
      <c r="J17" s="43">
        <v>0.0</v>
      </c>
      <c r="K17" s="43">
        <v>0.0</v>
      </c>
      <c r="L17" s="43">
        <v>0.0</v>
      </c>
      <c r="M17" s="43">
        <v>0.0</v>
      </c>
      <c r="N17" s="43">
        <v>0.0</v>
      </c>
      <c r="O17" s="43">
        <v>66.0</v>
      </c>
      <c r="P17" s="43">
        <v>4.0</v>
      </c>
      <c r="Q17" s="43">
        <v>0.35</v>
      </c>
      <c r="R17" s="43">
        <v>0.65</v>
      </c>
      <c r="S17" s="43">
        <v>0.0</v>
      </c>
      <c r="T17" s="43">
        <v>0.0</v>
      </c>
      <c r="X17" s="39">
        <v>215.0</v>
      </c>
      <c r="AK17" s="10"/>
    </row>
    <row r="18">
      <c r="A18" s="68" t="s">
        <v>73</v>
      </c>
      <c r="B18" s="39" t="s">
        <v>41</v>
      </c>
      <c r="C18" s="39" t="s">
        <v>74</v>
      </c>
      <c r="D18" s="53">
        <v>1.8</v>
      </c>
      <c r="E18" s="53">
        <v>31.3</v>
      </c>
      <c r="F18" s="98">
        <v>11.4</v>
      </c>
      <c r="G18" s="98">
        <v>0.0</v>
      </c>
      <c r="H18" s="98">
        <v>95.0</v>
      </c>
      <c r="I18" s="53">
        <v>61.3</v>
      </c>
      <c r="J18" s="98">
        <v>0.0</v>
      </c>
      <c r="K18" s="99">
        <v>0.0</v>
      </c>
      <c r="L18" s="99">
        <v>0.0</v>
      </c>
      <c r="M18" s="99">
        <v>0.0</v>
      </c>
      <c r="N18" s="99">
        <v>0.0</v>
      </c>
      <c r="O18" s="99">
        <v>1820.0</v>
      </c>
      <c r="P18" s="98">
        <v>30.0</v>
      </c>
      <c r="Q18" s="98">
        <v>0.88</v>
      </c>
      <c r="R18" s="98">
        <v>0.56</v>
      </c>
      <c r="S18" s="99">
        <v>12.0</v>
      </c>
      <c r="T18" s="98">
        <v>0.0</v>
      </c>
      <c r="U18" s="100"/>
      <c r="W18" s="100"/>
      <c r="X18" s="80">
        <v>85.0</v>
      </c>
      <c r="AK18" s="10"/>
    </row>
    <row r="19">
      <c r="A19" s="68" t="s">
        <v>75</v>
      </c>
      <c r="B19" s="39" t="s">
        <v>41</v>
      </c>
      <c r="C19" s="39" t="s">
        <v>76</v>
      </c>
      <c r="D19" s="53">
        <v>0.0</v>
      </c>
      <c r="E19" s="53">
        <v>100.0</v>
      </c>
      <c r="F19" s="98">
        <v>39.2</v>
      </c>
      <c r="G19" s="98">
        <v>0.0</v>
      </c>
      <c r="H19" s="98">
        <v>0.0</v>
      </c>
      <c r="I19" s="53">
        <v>0.0</v>
      </c>
      <c r="J19" s="98">
        <v>0.0</v>
      </c>
      <c r="K19" s="99">
        <v>0.0</v>
      </c>
      <c r="L19" s="99">
        <v>0.0</v>
      </c>
      <c r="M19" s="99">
        <v>0.0</v>
      </c>
      <c r="N19" s="99">
        <v>0.0</v>
      </c>
      <c r="O19" s="99">
        <v>0.0</v>
      </c>
      <c r="P19" s="98">
        <v>0.0</v>
      </c>
      <c r="Q19" s="98">
        <v>0.0</v>
      </c>
      <c r="R19" s="98">
        <v>0.11</v>
      </c>
      <c r="S19" s="99">
        <v>0.0</v>
      </c>
      <c r="T19" s="98">
        <v>2.5</v>
      </c>
      <c r="U19" s="100"/>
      <c r="W19" s="100"/>
      <c r="X19" s="80"/>
      <c r="AK19" s="10"/>
    </row>
    <row r="20">
      <c r="A20" s="101" t="s">
        <v>77</v>
      </c>
      <c r="B20" s="39" t="s">
        <v>41</v>
      </c>
      <c r="C20" s="39" t="s">
        <v>78</v>
      </c>
      <c r="D20" s="53">
        <v>22.2</v>
      </c>
      <c r="E20" s="53">
        <v>69.6</v>
      </c>
      <c r="F20" s="98">
        <v>25.3</v>
      </c>
      <c r="G20" s="98">
        <v>0.0</v>
      </c>
      <c r="H20" s="98">
        <v>90.0</v>
      </c>
      <c r="I20" s="53">
        <v>6.38</v>
      </c>
      <c r="J20" s="98">
        <v>0.0</v>
      </c>
      <c r="K20" s="99">
        <v>0.0</v>
      </c>
      <c r="L20" s="99">
        <v>0.0</v>
      </c>
      <c r="M20" s="99">
        <v>0.0</v>
      </c>
      <c r="N20" s="99">
        <v>0.0</v>
      </c>
      <c r="O20" s="99">
        <v>25.0</v>
      </c>
      <c r="P20" s="98">
        <v>4.0</v>
      </c>
      <c r="Q20" s="98">
        <v>0.42</v>
      </c>
      <c r="R20" s="98">
        <v>0.84</v>
      </c>
      <c r="S20" s="99">
        <v>3.0</v>
      </c>
      <c r="T20" s="98">
        <v>0.0</v>
      </c>
      <c r="U20" s="100"/>
      <c r="W20" s="100"/>
      <c r="X20" s="80">
        <v>86.0</v>
      </c>
      <c r="AK20" s="10"/>
    </row>
    <row r="21" ht="15.75" customHeight="1">
      <c r="A21" s="101" t="s">
        <v>80</v>
      </c>
      <c r="B21" s="39" t="s">
        <v>41</v>
      </c>
      <c r="C21" s="39" t="s">
        <v>81</v>
      </c>
      <c r="D21" s="102">
        <v>36.7</v>
      </c>
      <c r="E21" s="58">
        <v>53.0</v>
      </c>
      <c r="F21" s="58">
        <v>19.3</v>
      </c>
      <c r="G21" s="58">
        <v>0.0</v>
      </c>
      <c r="H21" s="58">
        <v>72.0</v>
      </c>
      <c r="I21" s="58">
        <v>9.34</v>
      </c>
      <c r="J21" s="58">
        <v>0.0</v>
      </c>
      <c r="K21" s="58">
        <v>0.0</v>
      </c>
      <c r="L21" s="103">
        <v>0.0</v>
      </c>
      <c r="M21" s="61">
        <v>0.0</v>
      </c>
      <c r="N21" s="102">
        <v>0.0</v>
      </c>
      <c r="O21" s="58">
        <v>32.0</v>
      </c>
      <c r="P21" s="58">
        <v>5.0</v>
      </c>
      <c r="Q21" s="58">
        <v>0.52</v>
      </c>
      <c r="R21" s="58">
        <v>1.02</v>
      </c>
      <c r="S21" s="58">
        <v>3.0</v>
      </c>
      <c r="T21" s="103">
        <v>0.0</v>
      </c>
      <c r="X21" s="80">
        <v>108.0</v>
      </c>
      <c r="AK21" s="10"/>
    </row>
    <row r="22" ht="15.75" customHeight="1">
      <c r="A22" s="101" t="s">
        <v>83</v>
      </c>
      <c r="B22" s="39" t="s">
        <v>41</v>
      </c>
      <c r="C22" s="39" t="s">
        <v>84</v>
      </c>
      <c r="D22" s="102">
        <v>53.3</v>
      </c>
      <c r="E22" s="58">
        <v>31.3</v>
      </c>
      <c r="F22" s="58">
        <v>12.9</v>
      </c>
      <c r="G22" s="58">
        <v>0.977</v>
      </c>
      <c r="H22" s="58">
        <v>62.0</v>
      </c>
      <c r="I22" s="58">
        <v>15.8</v>
      </c>
      <c r="J22" s="58">
        <v>0.0</v>
      </c>
      <c r="K22" s="58">
        <v>0.0</v>
      </c>
      <c r="L22" s="103">
        <v>0.0</v>
      </c>
      <c r="M22" s="61">
        <v>0.0</v>
      </c>
      <c r="N22" s="102">
        <v>0.0</v>
      </c>
      <c r="O22" s="58">
        <v>54.0</v>
      </c>
      <c r="P22" s="58">
        <v>9.0</v>
      </c>
      <c r="Q22" s="58">
        <v>1.11</v>
      </c>
      <c r="R22" s="58">
        <v>2.66</v>
      </c>
      <c r="S22" s="58">
        <v>9.0</v>
      </c>
      <c r="T22" s="103">
        <v>0.2</v>
      </c>
      <c r="X22" s="80">
        <v>118.0</v>
      </c>
      <c r="AK22" s="10"/>
    </row>
    <row r="23" ht="15.75" customHeight="1">
      <c r="A23" s="101"/>
      <c r="B23" s="39" t="s">
        <v>41</v>
      </c>
      <c r="C23" s="39" t="s">
        <v>86</v>
      </c>
      <c r="D23" s="104">
        <v>73.1368665458409</v>
      </c>
      <c r="E23" s="74">
        <v>2.7910873120429978</v>
      </c>
      <c r="F23" s="74">
        <v>0.9602025373414163</v>
      </c>
      <c r="G23" s="74">
        <v>0.015147437285169681</v>
      </c>
      <c r="H23" s="74">
        <v>34.99098006374602</v>
      </c>
      <c r="I23" s="74">
        <v>15.570593919380043</v>
      </c>
      <c r="J23" s="74">
        <v>3.8273918755077814</v>
      </c>
      <c r="K23" s="74">
        <v>0.6933873132929192</v>
      </c>
      <c r="L23" s="105">
        <v>0.6809347915755266</v>
      </c>
      <c r="M23" s="72">
        <v>1.5997400162489848</v>
      </c>
      <c r="N23" s="104">
        <v>0.6509472407974503</v>
      </c>
      <c r="O23" s="74">
        <v>816.5</v>
      </c>
      <c r="P23" s="74">
        <v>31.54670900568715</v>
      </c>
      <c r="Q23" s="74">
        <v>0.8055251496781451</v>
      </c>
      <c r="R23" s="74">
        <v>1.2599689719392542</v>
      </c>
      <c r="S23" s="74">
        <v>0.42679932504218493</v>
      </c>
      <c r="T23" s="106">
        <v>0.16278899807416922</v>
      </c>
      <c r="U23" s="107">
        <v>1.35</v>
      </c>
      <c r="V23" s="107">
        <v>0.01</v>
      </c>
      <c r="W23" s="107">
        <v>0.5</v>
      </c>
      <c r="X23" s="26">
        <v>242.7</v>
      </c>
      <c r="Y23" s="108">
        <v>0.05</v>
      </c>
      <c r="Z23" s="109">
        <v>6.0E-4</v>
      </c>
      <c r="AA23" s="110">
        <v>3.3E-5</v>
      </c>
      <c r="AK23" s="10"/>
    </row>
    <row r="24" ht="15.75" customHeight="1">
      <c r="A24" s="101"/>
      <c r="D24" s="102"/>
      <c r="E24" s="58"/>
      <c r="F24" s="58"/>
      <c r="G24" s="58"/>
      <c r="H24" s="58"/>
      <c r="I24" s="58"/>
      <c r="J24" s="58"/>
      <c r="K24" s="58"/>
      <c r="L24" s="103"/>
      <c r="M24" s="61"/>
      <c r="N24" s="102"/>
      <c r="O24" s="58"/>
      <c r="P24" s="58"/>
      <c r="Q24" s="58"/>
      <c r="R24" s="58"/>
      <c r="S24" s="58"/>
      <c r="T24" s="103"/>
      <c r="AK24" s="10"/>
    </row>
    <row r="25" ht="15.75" customHeight="1">
      <c r="B25" s="39" t="s">
        <v>87</v>
      </c>
      <c r="C25" s="39" t="s">
        <v>88</v>
      </c>
      <c r="D25" s="67">
        <v>5.0</v>
      </c>
      <c r="E25" s="65">
        <v>0.0</v>
      </c>
      <c r="F25" s="65">
        <v>0.0</v>
      </c>
      <c r="G25" s="65">
        <v>0.0</v>
      </c>
      <c r="H25" s="65">
        <v>0.0</v>
      </c>
      <c r="I25" s="65">
        <v>65.0</v>
      </c>
      <c r="J25" s="65">
        <v>0.0</v>
      </c>
      <c r="K25" s="111">
        <v>0.0</v>
      </c>
      <c r="L25" s="66">
        <v>0.0</v>
      </c>
      <c r="M25" s="61">
        <v>0.0</v>
      </c>
      <c r="N25" s="67">
        <v>0.0</v>
      </c>
      <c r="O25" s="65">
        <v>0.0</v>
      </c>
      <c r="P25" s="65">
        <v>0.0</v>
      </c>
      <c r="Q25" s="65">
        <v>0.0</v>
      </c>
      <c r="R25" s="65">
        <v>0.0</v>
      </c>
      <c r="S25" s="59">
        <v>0.0</v>
      </c>
      <c r="T25" s="60">
        <v>0.0</v>
      </c>
      <c r="AK25" s="10"/>
    </row>
    <row r="26" ht="15.75" customHeight="1">
      <c r="B26" s="39" t="s">
        <v>87</v>
      </c>
      <c r="C26" s="39" t="s">
        <v>89</v>
      </c>
      <c r="D26" s="67">
        <v>6.0</v>
      </c>
      <c r="E26" s="64">
        <v>3.0</v>
      </c>
      <c r="F26" s="64">
        <v>0.3</v>
      </c>
      <c r="G26" s="64">
        <v>0.0</v>
      </c>
      <c r="H26" s="64">
        <v>0.0</v>
      </c>
      <c r="I26" s="64">
        <v>65.0</v>
      </c>
      <c r="J26" s="64">
        <v>21.0</v>
      </c>
      <c r="K26" s="112">
        <v>2.0</v>
      </c>
      <c r="L26" s="113">
        <v>0.0</v>
      </c>
      <c r="M26" s="61">
        <v>0.0</v>
      </c>
      <c r="N26" s="114">
        <v>19.0</v>
      </c>
      <c r="O26" s="64">
        <v>1200.0</v>
      </c>
      <c r="P26" s="64">
        <v>200.0</v>
      </c>
      <c r="Q26" s="64">
        <v>9.5</v>
      </c>
      <c r="R26" s="64">
        <v>3.5</v>
      </c>
      <c r="S26" s="58">
        <v>0.0</v>
      </c>
      <c r="T26" s="103">
        <v>0.0</v>
      </c>
      <c r="X26" s="39">
        <v>750.0</v>
      </c>
      <c r="AK26" s="10" t="s">
        <v>60</v>
      </c>
    </row>
    <row r="27" ht="15.75" customHeight="1">
      <c r="B27" s="39" t="s">
        <v>87</v>
      </c>
      <c r="C27" s="39" t="s">
        <v>90</v>
      </c>
      <c r="D27" s="67">
        <v>9.0</v>
      </c>
      <c r="E27" s="64">
        <v>0.0</v>
      </c>
      <c r="F27" s="64">
        <v>0.2</v>
      </c>
      <c r="G27" s="64">
        <v>0.0</v>
      </c>
      <c r="H27" s="64">
        <v>0.0</v>
      </c>
      <c r="I27" s="64">
        <v>64.8</v>
      </c>
      <c r="J27" s="64">
        <v>5.0</v>
      </c>
      <c r="K27" s="112">
        <v>0.8</v>
      </c>
      <c r="L27" s="113">
        <v>0.0</v>
      </c>
      <c r="M27" s="61">
        <v>0.0</v>
      </c>
      <c r="N27" s="114">
        <v>19.0</v>
      </c>
      <c r="O27" s="64">
        <v>3.0</v>
      </c>
      <c r="P27" s="64">
        <v>446.0</v>
      </c>
      <c r="Q27" s="64">
        <v>11.0</v>
      </c>
      <c r="R27" s="64">
        <v>2.0</v>
      </c>
      <c r="S27" s="58">
        <v>0.0</v>
      </c>
      <c r="T27" s="103">
        <v>0.0</v>
      </c>
      <c r="X27" s="39">
        <v>720.0</v>
      </c>
      <c r="AJ27" s="39">
        <v>6.0</v>
      </c>
      <c r="AK27" s="10" t="s">
        <v>60</v>
      </c>
    </row>
    <row r="28" ht="15.75" customHeight="1">
      <c r="B28" s="39" t="s">
        <v>87</v>
      </c>
      <c r="C28" s="39" t="s">
        <v>91</v>
      </c>
      <c r="D28" s="115">
        <v>10.0</v>
      </c>
      <c r="E28" s="64">
        <v>0.9</v>
      </c>
      <c r="F28" s="64">
        <v>0.1</v>
      </c>
      <c r="G28" s="64">
        <v>0.0</v>
      </c>
      <c r="H28" s="64">
        <v>0.0</v>
      </c>
      <c r="I28" s="64">
        <v>61.4</v>
      </c>
      <c r="J28" s="64">
        <v>28.0</v>
      </c>
      <c r="K28" s="112">
        <v>0.0</v>
      </c>
      <c r="L28" s="113">
        <v>0.0</v>
      </c>
      <c r="M28" s="61">
        <v>0.0</v>
      </c>
      <c r="N28" s="114">
        <v>1.4</v>
      </c>
      <c r="O28" s="64">
        <v>550.0</v>
      </c>
      <c r="P28" s="64">
        <v>0.0</v>
      </c>
      <c r="Q28" s="64">
        <v>0.0</v>
      </c>
      <c r="R28" s="64">
        <v>0.0</v>
      </c>
      <c r="S28" s="58">
        <v>0.0</v>
      </c>
      <c r="T28" s="103">
        <v>0.0</v>
      </c>
      <c r="AK28" s="10" t="s">
        <v>60</v>
      </c>
    </row>
    <row r="29" ht="15.75" customHeight="1">
      <c r="B29" s="39" t="s">
        <v>87</v>
      </c>
      <c r="C29" s="39" t="s">
        <v>93</v>
      </c>
      <c r="D29" s="43">
        <v>4.0</v>
      </c>
      <c r="E29" s="43">
        <v>13.0</v>
      </c>
      <c r="F29" s="43">
        <v>4.6</v>
      </c>
      <c r="G29" s="43">
        <v>0.0</v>
      </c>
      <c r="H29" s="43">
        <v>0.0</v>
      </c>
      <c r="I29" s="43">
        <v>88.0</v>
      </c>
      <c r="J29" s="43">
        <v>0.0</v>
      </c>
      <c r="K29" s="43">
        <v>0.0</v>
      </c>
      <c r="L29" s="43">
        <v>0.0</v>
      </c>
      <c r="M29" s="43">
        <v>0.0</v>
      </c>
      <c r="N29" s="43">
        <v>0.0</v>
      </c>
      <c r="O29" s="43">
        <v>385.0</v>
      </c>
      <c r="P29" s="43">
        <v>0.0</v>
      </c>
      <c r="Q29" s="43">
        <v>0.0</v>
      </c>
      <c r="R29" s="43">
        <v>0.0</v>
      </c>
      <c r="S29" s="50">
        <v>0.0</v>
      </c>
      <c r="T29" s="117">
        <v>0.0</v>
      </c>
      <c r="U29" s="118"/>
      <c r="AG29" s="39">
        <v>100.0</v>
      </c>
      <c r="AK29" s="10"/>
    </row>
    <row r="30" ht="15.75" customHeight="1">
      <c r="B30" s="39" t="s">
        <v>87</v>
      </c>
      <c r="C30" s="39" t="s">
        <v>94</v>
      </c>
      <c r="D30" s="112">
        <v>38.1</v>
      </c>
      <c r="E30" s="112">
        <v>0.0</v>
      </c>
      <c r="F30" s="112">
        <v>0.0</v>
      </c>
      <c r="G30" s="112">
        <v>0.0</v>
      </c>
      <c r="H30" s="112">
        <v>0.0</v>
      </c>
      <c r="I30" s="112">
        <v>13.7</v>
      </c>
      <c r="J30" s="112">
        <v>29.2</v>
      </c>
      <c r="K30" s="112">
        <v>0.0</v>
      </c>
      <c r="L30" s="121">
        <v>0.0</v>
      </c>
      <c r="M30" s="43">
        <v>0.0</v>
      </c>
      <c r="N30" s="122">
        <v>0.2</v>
      </c>
      <c r="O30" s="112">
        <v>7160.0</v>
      </c>
      <c r="P30" s="112">
        <v>29.0</v>
      </c>
      <c r="Q30" s="112">
        <v>0.8</v>
      </c>
      <c r="R30" s="112">
        <v>0.0</v>
      </c>
      <c r="S30" s="50">
        <v>0.0</v>
      </c>
      <c r="T30" s="50">
        <v>0.0</v>
      </c>
      <c r="U30" s="39">
        <v>19.0</v>
      </c>
      <c r="AK30" s="10" t="s">
        <v>60</v>
      </c>
    </row>
    <row r="31" ht="15.75" customHeight="1">
      <c r="B31" s="39" t="s">
        <v>87</v>
      </c>
      <c r="C31" s="39" t="s">
        <v>95</v>
      </c>
      <c r="D31" s="43">
        <v>10.0</v>
      </c>
      <c r="E31" s="43">
        <v>4.2</v>
      </c>
      <c r="F31" s="43">
        <v>0.9</v>
      </c>
      <c r="G31" s="43">
        <v>0.0</v>
      </c>
      <c r="H31" s="43">
        <v>0.0</v>
      </c>
      <c r="I31" s="43">
        <v>62.6</v>
      </c>
      <c r="J31" s="43">
        <v>23.3</v>
      </c>
      <c r="K31" s="43">
        <v>1.5</v>
      </c>
      <c r="L31" s="43">
        <v>0.0</v>
      </c>
      <c r="M31" s="43">
        <v>0.0</v>
      </c>
      <c r="N31" s="43">
        <v>1.4</v>
      </c>
      <c r="O31" s="43">
        <v>300.0</v>
      </c>
      <c r="P31" s="43">
        <v>0.0</v>
      </c>
      <c r="Q31" s="43">
        <v>0.0</v>
      </c>
      <c r="R31" s="43">
        <v>0.0</v>
      </c>
      <c r="S31" s="50">
        <v>0.0</v>
      </c>
      <c r="T31" s="123">
        <v>0.0</v>
      </c>
      <c r="U31" s="118">
        <v>0.6</v>
      </c>
      <c r="AK31" s="10" t="s">
        <v>96</v>
      </c>
    </row>
    <row r="32" ht="15.75" customHeight="1">
      <c r="B32" s="39" t="s">
        <v>87</v>
      </c>
      <c r="C32" s="39" t="s">
        <v>97</v>
      </c>
      <c r="D32" s="43">
        <v>5.0</v>
      </c>
      <c r="E32" s="43">
        <v>0.0</v>
      </c>
      <c r="F32" s="43">
        <v>0.85</v>
      </c>
      <c r="G32" s="43">
        <v>0.0</v>
      </c>
      <c r="H32" s="43">
        <v>0.0</v>
      </c>
      <c r="I32" s="43">
        <v>83.065</v>
      </c>
      <c r="J32" s="43">
        <v>0.25</v>
      </c>
      <c r="K32" s="43">
        <v>0.25</v>
      </c>
      <c r="L32" s="43">
        <v>0.25</v>
      </c>
      <c r="M32" s="43">
        <v>0.0</v>
      </c>
      <c r="N32" s="43">
        <v>0.0</v>
      </c>
      <c r="O32" s="43">
        <v>2800.0</v>
      </c>
      <c r="P32" s="43">
        <v>0.0</v>
      </c>
      <c r="Q32" s="43">
        <v>0.0</v>
      </c>
      <c r="R32" s="43">
        <v>0.0</v>
      </c>
      <c r="S32" s="50">
        <v>0.0</v>
      </c>
      <c r="T32" s="123">
        <v>0.0</v>
      </c>
      <c r="Y32" s="39">
        <v>0.18</v>
      </c>
      <c r="AF32" s="39">
        <v>91.5</v>
      </c>
      <c r="AG32" s="39">
        <v>2.0</v>
      </c>
      <c r="AK32" s="10" t="s">
        <v>60</v>
      </c>
    </row>
    <row r="33" ht="15.75" customHeight="1">
      <c r="B33" s="39" t="s">
        <v>87</v>
      </c>
      <c r="C33" s="39" t="s">
        <v>98</v>
      </c>
      <c r="D33" s="98">
        <v>72.71300128442985</v>
      </c>
      <c r="E33" s="98">
        <v>0.24261452832881406</v>
      </c>
      <c r="F33" s="99">
        <v>0.0</v>
      </c>
      <c r="G33" s="99">
        <v>0.0</v>
      </c>
      <c r="H33" s="99">
        <v>0.0</v>
      </c>
      <c r="I33" s="98">
        <v>23.710576138147566</v>
      </c>
      <c r="J33" s="98">
        <v>0.07136220921935207</v>
      </c>
      <c r="K33" s="98">
        <v>0.07135721421435708</v>
      </c>
      <c r="L33" s="98">
        <v>0.07135721421435708</v>
      </c>
      <c r="M33" s="99">
        <v>0.0</v>
      </c>
      <c r="N33" s="99">
        <v>0.0</v>
      </c>
      <c r="O33" s="98">
        <v>840.3557870700728</v>
      </c>
      <c r="P33" s="98">
        <v>2.140716426430712</v>
      </c>
      <c r="Q33" s="99">
        <v>0.0</v>
      </c>
      <c r="R33" s="99">
        <v>0.0</v>
      </c>
      <c r="S33" s="124">
        <v>0.0</v>
      </c>
      <c r="T33" s="125">
        <v>0.0</v>
      </c>
      <c r="U33" s="118">
        <v>0.09</v>
      </c>
      <c r="V33" s="118">
        <v>0.01</v>
      </c>
      <c r="Y33" s="39">
        <v>0.051</v>
      </c>
      <c r="AF33" s="39">
        <v>26.11</v>
      </c>
      <c r="AG33" s="39">
        <v>0.57</v>
      </c>
      <c r="AK33" s="10"/>
    </row>
    <row r="34" ht="15.75" customHeight="1">
      <c r="B34" s="39" t="s">
        <v>87</v>
      </c>
      <c r="C34" s="39" t="s">
        <v>99</v>
      </c>
      <c r="D34" s="98">
        <v>10.0</v>
      </c>
      <c r="E34" s="98">
        <v>4.1</v>
      </c>
      <c r="F34" s="53">
        <v>0.8</v>
      </c>
      <c r="G34" s="99">
        <v>0.0</v>
      </c>
      <c r="H34" s="99">
        <v>0.0</v>
      </c>
      <c r="I34" s="98">
        <v>59.0</v>
      </c>
      <c r="J34" s="98">
        <v>24.2</v>
      </c>
      <c r="K34" s="98">
        <v>1.8</v>
      </c>
      <c r="L34" s="98">
        <v>0.0</v>
      </c>
      <c r="M34" s="99">
        <v>0.0</v>
      </c>
      <c r="N34" s="99">
        <v>1.3</v>
      </c>
      <c r="O34" s="98">
        <v>300.0</v>
      </c>
      <c r="P34" s="98">
        <v>0.0</v>
      </c>
      <c r="Q34" s="99">
        <v>0.0</v>
      </c>
      <c r="R34" s="99">
        <v>0.0</v>
      </c>
      <c r="S34" s="124">
        <v>0.0</v>
      </c>
      <c r="T34" s="125">
        <v>0.0</v>
      </c>
      <c r="U34" s="118">
        <v>0.9</v>
      </c>
      <c r="V34" s="118"/>
      <c r="AK34" s="10"/>
    </row>
    <row r="35" ht="15.75" customHeight="1">
      <c r="B35" s="39" t="s">
        <v>87</v>
      </c>
      <c r="C35" s="39" t="s">
        <v>100</v>
      </c>
      <c r="D35" s="98">
        <v>6.5</v>
      </c>
      <c r="E35" s="98">
        <v>1.0</v>
      </c>
      <c r="F35" s="53">
        <v>0.0</v>
      </c>
      <c r="G35" s="99">
        <v>0.0</v>
      </c>
      <c r="H35" s="99">
        <v>0.0</v>
      </c>
      <c r="I35" s="98">
        <v>90.0</v>
      </c>
      <c r="J35" s="98">
        <v>0.0</v>
      </c>
      <c r="K35" s="98">
        <v>0.0</v>
      </c>
      <c r="L35" s="98">
        <v>0.0</v>
      </c>
      <c r="M35" s="99">
        <v>0.0</v>
      </c>
      <c r="N35" s="99">
        <v>0.0</v>
      </c>
      <c r="O35" s="98">
        <v>0.0</v>
      </c>
      <c r="P35" s="98">
        <v>0.0</v>
      </c>
      <c r="Q35" s="99">
        <v>0.0</v>
      </c>
      <c r="R35" s="99">
        <v>0.0</v>
      </c>
      <c r="S35" s="124">
        <v>0.0</v>
      </c>
      <c r="T35" s="125">
        <v>0.0</v>
      </c>
      <c r="U35" s="118"/>
      <c r="V35" s="118"/>
      <c r="AK35" s="10"/>
    </row>
    <row r="36" ht="15.75" customHeight="1">
      <c r="B36" s="39" t="s">
        <v>87</v>
      </c>
      <c r="C36" s="39" t="s">
        <v>101</v>
      </c>
      <c r="D36" s="98">
        <v>5.0</v>
      </c>
      <c r="E36" s="98">
        <v>10.0</v>
      </c>
      <c r="F36" s="53">
        <v>4.2</v>
      </c>
      <c r="G36" s="99">
        <v>0.0</v>
      </c>
      <c r="H36" s="99">
        <v>0.0</v>
      </c>
      <c r="I36" s="98">
        <v>87.0</v>
      </c>
      <c r="J36" s="98">
        <v>0.0</v>
      </c>
      <c r="K36" s="98">
        <v>0.0</v>
      </c>
      <c r="L36" s="98">
        <v>0.0</v>
      </c>
      <c r="M36" s="99">
        <v>0.0</v>
      </c>
      <c r="N36" s="99">
        <v>0.0</v>
      </c>
      <c r="O36" s="98">
        <v>1.8</v>
      </c>
      <c r="P36" s="98">
        <v>0.0</v>
      </c>
      <c r="Q36" s="99">
        <v>0.0</v>
      </c>
      <c r="R36" s="99">
        <v>0.0</v>
      </c>
      <c r="S36" s="124">
        <v>0.0</v>
      </c>
      <c r="T36" s="125">
        <v>0.0</v>
      </c>
      <c r="U36" s="118"/>
      <c r="V36" s="118"/>
      <c r="AK36" s="10"/>
    </row>
    <row r="37" ht="15.75" customHeight="1">
      <c r="B37" s="39" t="s">
        <v>87</v>
      </c>
      <c r="C37" s="39" t="s">
        <v>102</v>
      </c>
      <c r="D37" s="98">
        <v>7.0</v>
      </c>
      <c r="E37" s="98">
        <v>2.0</v>
      </c>
      <c r="F37" s="53">
        <v>0.0</v>
      </c>
      <c r="G37" s="99">
        <v>0.0</v>
      </c>
      <c r="H37" s="99">
        <v>0.0</v>
      </c>
      <c r="I37" s="98">
        <v>70.0</v>
      </c>
      <c r="J37" s="98">
        <v>4.3</v>
      </c>
      <c r="K37" s="98">
        <v>0.0</v>
      </c>
      <c r="L37" s="98">
        <v>0.0</v>
      </c>
      <c r="M37" s="99">
        <v>0.0</v>
      </c>
      <c r="N37" s="99">
        <v>0.0</v>
      </c>
      <c r="O37" s="98">
        <v>0.0</v>
      </c>
      <c r="P37" s="98">
        <v>0.0</v>
      </c>
      <c r="Q37" s="99">
        <v>0.0</v>
      </c>
      <c r="R37" s="99">
        <v>0.0</v>
      </c>
      <c r="S37" s="124">
        <v>0.0</v>
      </c>
      <c r="T37" s="125">
        <v>0.0</v>
      </c>
      <c r="U37" s="118"/>
      <c r="V37" s="118"/>
      <c r="AK37" s="10"/>
    </row>
    <row r="38" ht="15.75" customHeight="1">
      <c r="D38" s="43"/>
      <c r="E38" s="43"/>
      <c r="F38" s="43"/>
      <c r="G38" s="43"/>
      <c r="H38" s="43"/>
      <c r="I38" s="43"/>
      <c r="J38" s="43"/>
      <c r="K38" s="43"/>
      <c r="L38" s="43"/>
      <c r="M38" s="43"/>
      <c r="N38" s="43"/>
      <c r="O38" s="43"/>
      <c r="P38" s="43"/>
      <c r="Q38" s="43"/>
      <c r="R38" s="43"/>
      <c r="S38" s="50"/>
      <c r="T38" s="123"/>
      <c r="AK38" s="10"/>
    </row>
    <row r="39" ht="15.75" customHeight="1">
      <c r="A39" s="57" t="s">
        <v>104</v>
      </c>
      <c r="B39" s="39" t="s">
        <v>105</v>
      </c>
      <c r="C39" s="39" t="s">
        <v>105</v>
      </c>
      <c r="D39" s="102">
        <v>99.9</v>
      </c>
      <c r="E39" s="64">
        <v>0.0</v>
      </c>
      <c r="F39" s="64">
        <v>0.0</v>
      </c>
      <c r="G39" s="64">
        <v>0.0</v>
      </c>
      <c r="H39" s="64">
        <v>0.0</v>
      </c>
      <c r="I39" s="64">
        <v>0.0</v>
      </c>
      <c r="J39" s="64">
        <v>0.0</v>
      </c>
      <c r="K39" s="64">
        <v>0.0</v>
      </c>
      <c r="L39" s="113">
        <v>0.0</v>
      </c>
      <c r="M39" s="61">
        <v>0.0</v>
      </c>
      <c r="N39" s="114">
        <v>0.0</v>
      </c>
      <c r="O39" s="64">
        <v>4.0</v>
      </c>
      <c r="P39" s="64">
        <v>3.0</v>
      </c>
      <c r="Q39" s="64">
        <v>0.0</v>
      </c>
      <c r="R39" s="64">
        <v>0.0</v>
      </c>
      <c r="S39" s="58">
        <v>0.0</v>
      </c>
      <c r="T39" s="103">
        <v>0.0</v>
      </c>
      <c r="AK39" s="10"/>
    </row>
    <row r="40" ht="15.75" customHeight="1">
      <c r="A40" s="39" t="s">
        <v>49</v>
      </c>
      <c r="B40" s="39" t="s">
        <v>106</v>
      </c>
      <c r="C40" s="39" t="s">
        <v>107</v>
      </c>
      <c r="D40" s="64">
        <v>0.2</v>
      </c>
      <c r="E40" s="64">
        <v>0.0</v>
      </c>
      <c r="F40" s="64">
        <v>0.0</v>
      </c>
      <c r="G40" s="64">
        <v>0.0</v>
      </c>
      <c r="H40" s="64">
        <v>0.0</v>
      </c>
      <c r="I40" s="64">
        <v>0.0</v>
      </c>
      <c r="J40" s="64">
        <v>0.0</v>
      </c>
      <c r="K40" s="112">
        <v>0.0</v>
      </c>
      <c r="L40" s="113">
        <v>0.0</v>
      </c>
      <c r="M40" s="61">
        <v>0.0</v>
      </c>
      <c r="N40" s="114">
        <v>0.0</v>
      </c>
      <c r="O40" s="64">
        <v>38781.0</v>
      </c>
      <c r="P40" s="64">
        <v>24.0</v>
      </c>
      <c r="Q40" s="64">
        <v>0.3</v>
      </c>
      <c r="R40" s="64">
        <v>0.1</v>
      </c>
      <c r="S40" s="58">
        <v>0.0</v>
      </c>
      <c r="T40" s="58">
        <v>0.0</v>
      </c>
      <c r="U40" s="128">
        <v>100.0</v>
      </c>
      <c r="AK40" s="10"/>
    </row>
    <row r="41" ht="15.75" customHeight="1">
      <c r="A41" s="39" t="s">
        <v>49</v>
      </c>
      <c r="B41" s="39" t="s">
        <v>106</v>
      </c>
      <c r="C41" s="39" t="s">
        <v>109</v>
      </c>
      <c r="D41" s="64">
        <v>0.0</v>
      </c>
      <c r="E41" s="64">
        <v>0.0</v>
      </c>
      <c r="F41" s="64">
        <v>0.0</v>
      </c>
      <c r="G41" s="64">
        <v>0.0</v>
      </c>
      <c r="H41" s="64">
        <v>0.0</v>
      </c>
      <c r="I41" s="64">
        <v>0.0</v>
      </c>
      <c r="J41" s="64">
        <v>0.0</v>
      </c>
      <c r="K41" s="112">
        <v>0.0</v>
      </c>
      <c r="L41" s="113">
        <v>0.0</v>
      </c>
      <c r="M41" s="61">
        <v>0.0</v>
      </c>
      <c r="N41" s="114">
        <v>0.0</v>
      </c>
      <c r="O41" s="64">
        <v>23268.0</v>
      </c>
      <c r="P41" s="64">
        <v>0.0</v>
      </c>
      <c r="Q41" s="64">
        <v>0.0</v>
      </c>
      <c r="R41" s="64">
        <v>0.0</v>
      </c>
      <c r="S41" s="58">
        <v>0.0</v>
      </c>
      <c r="T41" s="58">
        <v>0.0</v>
      </c>
      <c r="U41" s="129">
        <v>60.0</v>
      </c>
      <c r="AD41" s="39">
        <v>40.0</v>
      </c>
      <c r="AK41" s="10"/>
    </row>
    <row r="42" ht="15.75" customHeight="1">
      <c r="B42" s="39" t="s">
        <v>106</v>
      </c>
      <c r="C42" s="39" t="s">
        <v>110</v>
      </c>
      <c r="D42" s="64">
        <v>0.0</v>
      </c>
      <c r="E42" s="64">
        <v>0.0</v>
      </c>
      <c r="F42" s="64">
        <v>0.0</v>
      </c>
      <c r="G42" s="64">
        <v>0.0</v>
      </c>
      <c r="H42" s="64">
        <v>0.0</v>
      </c>
      <c r="I42" s="64">
        <v>0.0</v>
      </c>
      <c r="J42" s="64">
        <v>0.0</v>
      </c>
      <c r="K42" s="112">
        <v>0.0</v>
      </c>
      <c r="L42" s="113">
        <v>0.0</v>
      </c>
      <c r="M42" s="61">
        <v>0.0</v>
      </c>
      <c r="N42" s="114">
        <v>0.0</v>
      </c>
      <c r="O42" s="81">
        <v>19350.0</v>
      </c>
      <c r="P42" s="64">
        <v>0.0</v>
      </c>
      <c r="Q42" s="64">
        <v>0.0</v>
      </c>
      <c r="R42" s="64">
        <v>0.0</v>
      </c>
      <c r="S42" s="58">
        <v>0.0</v>
      </c>
      <c r="T42" s="58">
        <v>0.0</v>
      </c>
      <c r="U42" s="129">
        <v>50.0</v>
      </c>
      <c r="AD42" s="129">
        <v>50.0</v>
      </c>
      <c r="AE42" s="129"/>
      <c r="AF42" s="129"/>
      <c r="AG42" s="129"/>
      <c r="AH42" s="129"/>
      <c r="AI42" s="129"/>
      <c r="AK42" s="10"/>
    </row>
    <row r="43" ht="15.75" customHeight="1">
      <c r="B43" s="39" t="s">
        <v>106</v>
      </c>
      <c r="C43" s="39" t="s">
        <v>111</v>
      </c>
      <c r="D43" s="64">
        <f>100-J43</f>
        <v>0.5</v>
      </c>
      <c r="E43" s="64">
        <v>0.0</v>
      </c>
      <c r="F43" s="64">
        <v>0.0</v>
      </c>
      <c r="G43" s="64">
        <v>0.0</v>
      </c>
      <c r="H43" s="64">
        <v>0.0</v>
      </c>
      <c r="I43" s="64">
        <v>0.002</v>
      </c>
      <c r="J43" s="64">
        <v>99.5</v>
      </c>
      <c r="K43" s="112">
        <v>99.5</v>
      </c>
      <c r="L43" s="113">
        <v>99.5</v>
      </c>
      <c r="M43" s="61">
        <v>0.0</v>
      </c>
      <c r="N43" s="114">
        <v>0.0</v>
      </c>
      <c r="O43" s="64">
        <v>0.0</v>
      </c>
      <c r="P43" s="64">
        <v>0.0</v>
      </c>
      <c r="Q43" s="64">
        <v>0.005</v>
      </c>
      <c r="R43" s="64">
        <v>0.0</v>
      </c>
      <c r="S43" s="58">
        <v>0.0</v>
      </c>
      <c r="T43" s="58">
        <v>0.0</v>
      </c>
      <c r="AK43" s="10"/>
    </row>
    <row r="44" ht="15.75" customHeight="1">
      <c r="B44" s="39" t="s">
        <v>106</v>
      </c>
      <c r="C44" s="39" t="s">
        <v>112</v>
      </c>
      <c r="D44" s="114">
        <v>0.0</v>
      </c>
      <c r="E44" s="64">
        <v>0.0</v>
      </c>
      <c r="F44" s="64">
        <v>0.0</v>
      </c>
      <c r="G44" s="64">
        <v>0.0</v>
      </c>
      <c r="H44" s="64">
        <v>0.0</v>
      </c>
      <c r="I44" s="64">
        <v>0.0</v>
      </c>
      <c r="J44" s="64">
        <v>0.0</v>
      </c>
      <c r="K44" s="112">
        <v>0.0</v>
      </c>
      <c r="L44" s="113">
        <v>0.0</v>
      </c>
      <c r="M44" s="61">
        <v>0.0</v>
      </c>
      <c r="N44" s="114">
        <v>0.0</v>
      </c>
      <c r="O44" s="64">
        <f>10680</f>
        <v>10680</v>
      </c>
      <c r="P44" s="64">
        <v>0.0</v>
      </c>
      <c r="Q44" s="64">
        <v>0.0</v>
      </c>
      <c r="R44" s="64">
        <v>0.0</v>
      </c>
      <c r="S44" s="58">
        <v>0.0</v>
      </c>
      <c r="T44" s="103">
        <v>0.0</v>
      </c>
      <c r="Y44" s="39">
        <v>98.0</v>
      </c>
      <c r="AK44" s="10"/>
    </row>
    <row r="45" ht="15.75" customHeight="1">
      <c r="B45" s="39" t="s">
        <v>106</v>
      </c>
      <c r="C45" s="39" t="s">
        <v>113</v>
      </c>
      <c r="D45" s="114">
        <v>0.0</v>
      </c>
      <c r="E45" s="64">
        <v>0.1</v>
      </c>
      <c r="F45" s="64">
        <v>0.0</v>
      </c>
      <c r="G45" s="64">
        <v>0.0</v>
      </c>
      <c r="H45" s="64">
        <v>0.0</v>
      </c>
      <c r="I45" s="64">
        <v>0.4</v>
      </c>
      <c r="J45" s="64">
        <v>48.0</v>
      </c>
      <c r="K45" s="64">
        <v>0.0</v>
      </c>
      <c r="L45" s="113">
        <v>0.0</v>
      </c>
      <c r="M45" s="61">
        <v>0.0</v>
      </c>
      <c r="N45" s="114">
        <v>7.0</v>
      </c>
      <c r="O45" s="64">
        <v>3019.0</v>
      </c>
      <c r="P45" s="64">
        <v>0.0</v>
      </c>
      <c r="Q45" s="64">
        <v>0.0</v>
      </c>
      <c r="R45" s="64">
        <v>0.0</v>
      </c>
      <c r="S45" s="58">
        <v>0.0</v>
      </c>
      <c r="T45" s="103">
        <v>0.0</v>
      </c>
      <c r="AK45" s="10"/>
    </row>
    <row r="46" ht="15.75" customHeight="1">
      <c r="B46" s="39" t="s">
        <v>106</v>
      </c>
      <c r="C46" s="39" t="s">
        <v>115</v>
      </c>
      <c r="D46" s="114">
        <v>0.0</v>
      </c>
      <c r="E46" s="64">
        <v>0.1</v>
      </c>
      <c r="F46" s="64">
        <v>0.0</v>
      </c>
      <c r="G46" s="64">
        <v>0.0</v>
      </c>
      <c r="H46" s="64">
        <v>0.0</v>
      </c>
      <c r="I46" s="64">
        <v>0.1</v>
      </c>
      <c r="J46" s="64">
        <v>80.0</v>
      </c>
      <c r="K46" s="112">
        <v>0.0</v>
      </c>
      <c r="L46" s="113">
        <v>0.0</v>
      </c>
      <c r="M46" s="61">
        <v>80.0</v>
      </c>
      <c r="N46" s="114">
        <v>0.0</v>
      </c>
      <c r="O46" s="64">
        <v>15.87</v>
      </c>
      <c r="P46" s="64">
        <v>0.0</v>
      </c>
      <c r="Q46" s="64">
        <v>0.0</v>
      </c>
      <c r="R46" s="64">
        <v>0.0</v>
      </c>
      <c r="S46" s="58">
        <v>0.0</v>
      </c>
      <c r="T46" s="103">
        <v>0.0</v>
      </c>
      <c r="U46" s="131">
        <v>0.0404</v>
      </c>
      <c r="AK46" s="10"/>
    </row>
    <row r="47" ht="15.75" customHeight="1">
      <c r="B47" s="39" t="s">
        <v>106</v>
      </c>
      <c r="C47" s="39" t="s">
        <v>116</v>
      </c>
      <c r="D47" s="64">
        <v>13.0</v>
      </c>
      <c r="E47" s="64">
        <v>0.0</v>
      </c>
      <c r="F47" s="64">
        <v>0.0</v>
      </c>
      <c r="G47" s="64">
        <v>0.0</v>
      </c>
      <c r="H47" s="64">
        <v>0.0</v>
      </c>
      <c r="I47" s="64">
        <v>0.0</v>
      </c>
      <c r="J47" s="64">
        <v>85.0</v>
      </c>
      <c r="K47" s="112">
        <v>0.0</v>
      </c>
      <c r="L47" s="113">
        <v>0.0</v>
      </c>
      <c r="M47" s="61">
        <v>85.0</v>
      </c>
      <c r="N47" s="114">
        <v>0.0</v>
      </c>
      <c r="O47" s="64">
        <v>0.0</v>
      </c>
      <c r="P47" s="64">
        <v>0.0</v>
      </c>
      <c r="Q47" s="64">
        <v>0.0</v>
      </c>
      <c r="R47" s="64">
        <v>0.0</v>
      </c>
      <c r="S47" s="58">
        <v>0.0</v>
      </c>
      <c r="T47" s="58">
        <v>0.0</v>
      </c>
      <c r="AK47" s="10"/>
    </row>
    <row r="48" ht="15.75" customHeight="1">
      <c r="B48" s="39" t="s">
        <v>106</v>
      </c>
      <c r="C48" s="39" t="s">
        <v>117</v>
      </c>
      <c r="D48" s="64">
        <v>0.0</v>
      </c>
      <c r="E48" s="64">
        <v>0.0</v>
      </c>
      <c r="F48" s="64">
        <v>0.0</v>
      </c>
      <c r="G48" s="64">
        <v>0.0</v>
      </c>
      <c r="H48" s="64">
        <v>0.0</v>
      </c>
      <c r="I48" s="64">
        <v>10.5</v>
      </c>
      <c r="J48" s="64">
        <v>93.0</v>
      </c>
      <c r="K48" s="112">
        <v>0.0</v>
      </c>
      <c r="L48" s="113">
        <v>0.0</v>
      </c>
      <c r="M48" s="61">
        <v>12.0</v>
      </c>
      <c r="N48" s="114">
        <v>58.0</v>
      </c>
      <c r="O48" s="64">
        <v>0.0</v>
      </c>
      <c r="P48" s="64">
        <v>0.0</v>
      </c>
      <c r="Q48" s="64">
        <v>0.0</v>
      </c>
      <c r="R48" s="64">
        <v>0.0</v>
      </c>
      <c r="S48" s="58">
        <v>0.0</v>
      </c>
      <c r="T48" s="58">
        <v>0.0</v>
      </c>
      <c r="AC48" s="39">
        <v>100.0</v>
      </c>
      <c r="AK48" s="10"/>
    </row>
    <row r="49" ht="15.75" customHeight="1">
      <c r="B49" s="39" t="s">
        <v>106</v>
      </c>
      <c r="C49" s="39" t="s">
        <v>118</v>
      </c>
      <c r="D49" s="64">
        <v>7.0</v>
      </c>
      <c r="E49" s="64">
        <v>0.02</v>
      </c>
      <c r="F49" s="64">
        <v>0.02</v>
      </c>
      <c r="G49" s="64">
        <v>0.0</v>
      </c>
      <c r="H49" s="64">
        <v>0.0</v>
      </c>
      <c r="I49" s="64">
        <v>35.0</v>
      </c>
      <c r="J49" s="64">
        <v>9.19</v>
      </c>
      <c r="K49" s="112">
        <v>9.19</v>
      </c>
      <c r="L49" s="113">
        <v>9.19</v>
      </c>
      <c r="M49" s="61">
        <v>0.0</v>
      </c>
      <c r="N49" s="114">
        <v>0.0</v>
      </c>
      <c r="O49" s="64">
        <v>13000.0</v>
      </c>
      <c r="P49" s="64">
        <v>0.0</v>
      </c>
      <c r="Q49" s="64">
        <v>0.0</v>
      </c>
      <c r="R49" s="64">
        <v>0.0</v>
      </c>
      <c r="S49" s="58">
        <v>0.0</v>
      </c>
      <c r="T49" s="58">
        <v>0.0</v>
      </c>
      <c r="U49" s="128">
        <v>33.0</v>
      </c>
      <c r="AK49" s="10"/>
    </row>
    <row r="50" ht="15.75" customHeight="1">
      <c r="B50" s="39" t="s">
        <v>106</v>
      </c>
      <c r="C50" s="39" t="s">
        <v>119</v>
      </c>
      <c r="D50" s="43">
        <v>0.0</v>
      </c>
      <c r="E50" s="43">
        <v>0.4</v>
      </c>
      <c r="F50" s="43">
        <v>0.0</v>
      </c>
      <c r="G50" s="43">
        <v>0.0</v>
      </c>
      <c r="H50" s="43">
        <v>0.0</v>
      </c>
      <c r="I50" s="43">
        <v>0.0</v>
      </c>
      <c r="J50" s="43">
        <v>0.0</v>
      </c>
      <c r="K50" s="43">
        <v>0.0</v>
      </c>
      <c r="L50" s="43">
        <v>0.0</v>
      </c>
      <c r="M50" s="43">
        <v>0.0</v>
      </c>
      <c r="N50" s="43">
        <v>0.0</v>
      </c>
      <c r="O50" s="43">
        <v>23150.0</v>
      </c>
      <c r="P50" s="43">
        <v>0.0</v>
      </c>
      <c r="Q50" s="43">
        <v>0.0</v>
      </c>
      <c r="R50" s="43">
        <v>0.0</v>
      </c>
      <c r="S50" s="50">
        <v>0.0</v>
      </c>
      <c r="T50" s="123">
        <v>0.0</v>
      </c>
      <c r="AK50" s="10"/>
    </row>
    <row r="51" ht="15.75" customHeight="1">
      <c r="B51" s="39" t="s">
        <v>106</v>
      </c>
      <c r="C51" s="39" t="s">
        <v>120</v>
      </c>
      <c r="D51" s="43">
        <v>0.0</v>
      </c>
      <c r="E51" s="43">
        <v>0.0</v>
      </c>
      <c r="F51" s="43">
        <v>0.0</v>
      </c>
      <c r="G51" s="43">
        <v>0.0</v>
      </c>
      <c r="H51" s="43">
        <v>0.0</v>
      </c>
      <c r="I51" s="43">
        <v>0.0</v>
      </c>
      <c r="J51" s="43">
        <v>56.9</v>
      </c>
      <c r="K51" s="43">
        <v>56.9</v>
      </c>
      <c r="L51" s="43">
        <v>56.9</v>
      </c>
      <c r="M51" s="43">
        <v>0.0</v>
      </c>
      <c r="N51" s="43">
        <v>0.0</v>
      </c>
      <c r="O51" s="43">
        <v>400.0</v>
      </c>
      <c r="P51" s="43">
        <v>0.0</v>
      </c>
      <c r="Q51" s="43">
        <v>0.0</v>
      </c>
      <c r="R51" s="43">
        <v>0.0</v>
      </c>
      <c r="S51" s="50">
        <v>0.0</v>
      </c>
      <c r="T51" s="123">
        <v>0.0</v>
      </c>
      <c r="U51" s="129"/>
      <c r="V51" s="129"/>
      <c r="AK51" s="10"/>
    </row>
    <row r="52" ht="15.75" customHeight="1">
      <c r="A52" s="39" t="s">
        <v>49</v>
      </c>
      <c r="B52" s="39" t="s">
        <v>106</v>
      </c>
      <c r="C52" s="39" t="s">
        <v>121</v>
      </c>
      <c r="D52" s="43">
        <v>0.5</v>
      </c>
      <c r="E52" s="43">
        <v>0.0</v>
      </c>
      <c r="F52" s="43">
        <v>0.0</v>
      </c>
      <c r="G52" s="43">
        <v>0.0</v>
      </c>
      <c r="H52" s="43">
        <v>0.0</v>
      </c>
      <c r="I52" s="43">
        <v>0.0</v>
      </c>
      <c r="J52" s="43">
        <v>99.3</v>
      </c>
      <c r="K52" s="43">
        <v>99.3</v>
      </c>
      <c r="L52" s="43">
        <v>99.3</v>
      </c>
      <c r="M52" s="43">
        <v>0.0</v>
      </c>
      <c r="N52" s="43">
        <v>0.0</v>
      </c>
      <c r="O52" s="43">
        <v>0.0</v>
      </c>
      <c r="P52" s="43">
        <v>0.0</v>
      </c>
      <c r="Q52" s="43">
        <v>0.1</v>
      </c>
      <c r="R52" s="43">
        <v>0.0</v>
      </c>
      <c r="S52" s="50">
        <v>0.0</v>
      </c>
      <c r="T52" s="123">
        <v>0.0</v>
      </c>
      <c r="U52" s="129"/>
      <c r="V52" s="129"/>
      <c r="AK52" s="10"/>
    </row>
    <row r="53" ht="15.75" customHeight="1">
      <c r="B53" s="39" t="s">
        <v>106</v>
      </c>
      <c r="C53" s="39" t="s">
        <v>122</v>
      </c>
      <c r="D53" s="43">
        <v>14.0</v>
      </c>
      <c r="E53" s="43">
        <v>0.0</v>
      </c>
      <c r="F53" s="43">
        <v>0.0</v>
      </c>
      <c r="G53" s="43">
        <v>0.0</v>
      </c>
      <c r="H53" s="43">
        <v>0.0</v>
      </c>
      <c r="I53" s="43">
        <v>0.0</v>
      </c>
      <c r="J53" s="43">
        <v>88.0</v>
      </c>
      <c r="K53" s="43">
        <v>0.0</v>
      </c>
      <c r="L53" s="43">
        <v>0.0</v>
      </c>
      <c r="M53" s="43">
        <v>88.0</v>
      </c>
      <c r="N53" s="43">
        <v>0.0</v>
      </c>
      <c r="O53" s="43">
        <v>80.0</v>
      </c>
      <c r="P53" s="43">
        <v>1.5</v>
      </c>
      <c r="Q53" s="43">
        <v>0.1</v>
      </c>
      <c r="R53" s="43">
        <v>0.1</v>
      </c>
      <c r="S53" s="50">
        <v>0.0</v>
      </c>
      <c r="T53" s="123">
        <v>0.0</v>
      </c>
      <c r="U53" s="129"/>
      <c r="V53" s="129"/>
      <c r="AK53" s="10"/>
    </row>
    <row r="54" ht="15.75" customHeight="1">
      <c r="B54" s="39" t="s">
        <v>106</v>
      </c>
      <c r="C54" s="39" t="s">
        <v>123</v>
      </c>
      <c r="D54" s="43">
        <v>8.0</v>
      </c>
      <c r="E54" s="43">
        <v>3.7</v>
      </c>
      <c r="F54" s="43">
        <v>1.3</v>
      </c>
      <c r="G54" s="43">
        <v>0.0</v>
      </c>
      <c r="H54" s="43">
        <v>0.0</v>
      </c>
      <c r="I54" s="43">
        <v>13.0</v>
      </c>
      <c r="J54" s="43">
        <v>75.0</v>
      </c>
      <c r="K54" s="43">
        <v>3.5</v>
      </c>
      <c r="L54" s="43">
        <v>0.0</v>
      </c>
      <c r="M54" s="43">
        <v>0.0</v>
      </c>
      <c r="N54" s="43">
        <v>2.3</v>
      </c>
      <c r="O54" s="43">
        <v>214.0</v>
      </c>
      <c r="P54" s="43">
        <v>14.0</v>
      </c>
      <c r="Q54" s="43">
        <v>0.85</v>
      </c>
      <c r="R54" s="43">
        <v>0.82</v>
      </c>
      <c r="S54" s="50">
        <v>0.0</v>
      </c>
      <c r="T54" s="123">
        <v>0.0</v>
      </c>
      <c r="U54" s="129"/>
      <c r="V54" s="129"/>
      <c r="AK54" s="10" t="s">
        <v>96</v>
      </c>
    </row>
    <row r="55" ht="15.75" customHeight="1">
      <c r="B55" s="39" t="s">
        <v>106</v>
      </c>
      <c r="C55" s="39" t="s">
        <v>124</v>
      </c>
      <c r="D55" s="43">
        <v>14.0</v>
      </c>
      <c r="E55" s="43">
        <v>1.52</v>
      </c>
      <c r="F55" s="43">
        <v>0.0</v>
      </c>
      <c r="G55" s="43">
        <v>0.0</v>
      </c>
      <c r="H55" s="43">
        <v>0.0</v>
      </c>
      <c r="I55" s="43">
        <v>7.6</v>
      </c>
      <c r="J55" s="43">
        <v>72.98</v>
      </c>
      <c r="K55" s="43">
        <v>0.05</v>
      </c>
      <c r="L55" s="43">
        <v>0.0</v>
      </c>
      <c r="M55" s="43">
        <v>0.0</v>
      </c>
      <c r="N55" s="43">
        <v>3.25</v>
      </c>
      <c r="O55" s="43">
        <v>1710.0</v>
      </c>
      <c r="P55" s="43">
        <v>9.85</v>
      </c>
      <c r="Q55" s="43">
        <v>4.08</v>
      </c>
      <c r="R55" s="43">
        <v>0.04</v>
      </c>
      <c r="S55" s="50">
        <v>0.0</v>
      </c>
      <c r="T55" s="123">
        <v>0.0</v>
      </c>
      <c r="U55" s="129">
        <v>3.7</v>
      </c>
      <c r="V55" s="129"/>
      <c r="AK55" s="10"/>
    </row>
    <row r="56" ht="15.75" customHeight="1">
      <c r="B56" s="39" t="s">
        <v>106</v>
      </c>
      <c r="C56" s="39" t="s">
        <v>125</v>
      </c>
      <c r="D56" s="43">
        <v>99.0</v>
      </c>
      <c r="E56" s="43">
        <v>0.0</v>
      </c>
      <c r="F56" s="43">
        <v>0.0</v>
      </c>
      <c r="G56" s="43">
        <v>0.0</v>
      </c>
      <c r="H56" s="43">
        <v>0.0</v>
      </c>
      <c r="I56" s="43">
        <v>0.0</v>
      </c>
      <c r="J56" s="43">
        <v>0.0</v>
      </c>
      <c r="K56" s="43">
        <v>0.0</v>
      </c>
      <c r="L56" s="43">
        <v>0.0</v>
      </c>
      <c r="M56" s="43">
        <v>0.0</v>
      </c>
      <c r="N56" s="43">
        <v>0.0</v>
      </c>
      <c r="O56" s="43">
        <v>0.0</v>
      </c>
      <c r="P56" s="43">
        <v>0.0</v>
      </c>
      <c r="Q56" s="43">
        <v>0.0</v>
      </c>
      <c r="R56" s="43">
        <v>0.0</v>
      </c>
      <c r="S56" s="50">
        <v>0.0</v>
      </c>
      <c r="T56" s="123">
        <v>0.0</v>
      </c>
      <c r="U56" s="129"/>
      <c r="V56" s="129"/>
      <c r="AK56" s="10"/>
    </row>
    <row r="57" ht="15.75" customHeight="1">
      <c r="B57" s="39" t="s">
        <v>106</v>
      </c>
      <c r="C57" s="39" t="s">
        <v>126</v>
      </c>
      <c r="D57" s="43">
        <v>0.0</v>
      </c>
      <c r="E57" s="43">
        <v>0.0</v>
      </c>
      <c r="F57" s="43">
        <v>0.0</v>
      </c>
      <c r="G57" s="43">
        <v>0.0</v>
      </c>
      <c r="H57" s="43">
        <v>0.0</v>
      </c>
      <c r="I57" s="43">
        <v>2.0</v>
      </c>
      <c r="J57" s="43">
        <v>1.0</v>
      </c>
      <c r="K57" s="43">
        <v>0.0</v>
      </c>
      <c r="L57" s="43">
        <v>0.0</v>
      </c>
      <c r="M57" s="43">
        <v>0.0</v>
      </c>
      <c r="N57" s="43">
        <v>16.0</v>
      </c>
      <c r="O57" s="43">
        <v>32000.0</v>
      </c>
      <c r="P57" s="43">
        <v>0.0</v>
      </c>
      <c r="Q57" s="43">
        <v>0.0</v>
      </c>
      <c r="R57" s="43">
        <v>0.0</v>
      </c>
      <c r="S57" s="50">
        <v>0.0</v>
      </c>
      <c r="T57" s="123">
        <v>0.0</v>
      </c>
      <c r="U57" s="129">
        <v>79.9</v>
      </c>
      <c r="V57" s="129"/>
      <c r="W57" s="118">
        <v>11.7</v>
      </c>
      <c r="X57" s="118">
        <v>5101.0</v>
      </c>
      <c r="AK57" s="10"/>
    </row>
    <row r="58" ht="15.75" customHeight="1">
      <c r="A58" s="45" t="s">
        <v>127</v>
      </c>
      <c r="B58" s="39" t="s">
        <v>106</v>
      </c>
      <c r="C58" s="39" t="s">
        <v>128</v>
      </c>
      <c r="D58" s="64">
        <v>94.8</v>
      </c>
      <c r="E58" s="64">
        <v>0.0</v>
      </c>
      <c r="F58" s="64">
        <v>0.0</v>
      </c>
      <c r="G58" s="64">
        <v>0.0</v>
      </c>
      <c r="H58" s="64">
        <v>0.0</v>
      </c>
      <c r="I58" s="64">
        <v>0.0</v>
      </c>
      <c r="J58" s="64">
        <v>0.04</v>
      </c>
      <c r="K58" s="112">
        <v>0.04</v>
      </c>
      <c r="L58" s="113">
        <v>0.0</v>
      </c>
      <c r="M58" s="61">
        <v>0.0</v>
      </c>
      <c r="N58" s="114">
        <v>0.0</v>
      </c>
      <c r="O58" s="64">
        <v>2.0</v>
      </c>
      <c r="P58" s="64">
        <v>6.0</v>
      </c>
      <c r="Q58" s="64">
        <v>0.03</v>
      </c>
      <c r="R58" s="64">
        <v>0.01</v>
      </c>
      <c r="S58" s="58">
        <v>0.0</v>
      </c>
      <c r="T58" s="58">
        <v>0.0</v>
      </c>
      <c r="X58" s="39">
        <v>4.0</v>
      </c>
      <c r="AK58" s="10"/>
    </row>
    <row r="59" ht="15.75" customHeight="1">
      <c r="A59" s="45"/>
      <c r="B59" s="39" t="s">
        <v>106</v>
      </c>
      <c r="C59" s="39" t="s">
        <v>129</v>
      </c>
      <c r="D59" s="64">
        <v>10.0</v>
      </c>
      <c r="E59" s="64">
        <v>1.5</v>
      </c>
      <c r="F59" s="64">
        <v>0.1</v>
      </c>
      <c r="G59" s="64">
        <v>0.0</v>
      </c>
      <c r="H59" s="64">
        <v>0.0</v>
      </c>
      <c r="I59" s="64">
        <v>48.0</v>
      </c>
      <c r="J59" s="64">
        <v>4.0</v>
      </c>
      <c r="K59" s="112">
        <v>2.0</v>
      </c>
      <c r="L59" s="113">
        <v>0.0</v>
      </c>
      <c r="M59" s="61">
        <v>0.0</v>
      </c>
      <c r="N59" s="114">
        <v>1.0</v>
      </c>
      <c r="O59" s="64">
        <v>17000.0</v>
      </c>
      <c r="P59" s="64">
        <v>0.0</v>
      </c>
      <c r="Q59" s="64">
        <v>0.0</v>
      </c>
      <c r="R59" s="64">
        <v>0.0</v>
      </c>
      <c r="S59" s="58">
        <v>0.0</v>
      </c>
      <c r="T59" s="58">
        <v>0.0</v>
      </c>
      <c r="U59" s="94">
        <v>20.0</v>
      </c>
      <c r="AK59" s="10"/>
    </row>
    <row r="60" ht="15.75" customHeight="1">
      <c r="A60" s="45"/>
      <c r="B60" s="39" t="s">
        <v>106</v>
      </c>
      <c r="C60" s="39" t="s">
        <v>130</v>
      </c>
      <c r="D60" s="64">
        <v>11.5</v>
      </c>
      <c r="E60" s="64">
        <v>0.3</v>
      </c>
      <c r="F60" s="64">
        <v>0.0</v>
      </c>
      <c r="G60" s="64">
        <v>0.0</v>
      </c>
      <c r="H60" s="64">
        <v>0.0</v>
      </c>
      <c r="I60" s="64">
        <v>1.0</v>
      </c>
      <c r="J60" s="64">
        <v>36.2</v>
      </c>
      <c r="K60" s="112">
        <v>14.9</v>
      </c>
      <c r="L60" s="113">
        <v>14.9</v>
      </c>
      <c r="M60" s="61">
        <v>0.0</v>
      </c>
      <c r="N60" s="114">
        <v>0.7</v>
      </c>
      <c r="O60" s="64">
        <v>21003.0</v>
      </c>
      <c r="P60" s="64">
        <v>28.0</v>
      </c>
      <c r="Q60" s="64">
        <v>0.49</v>
      </c>
      <c r="R60" s="64">
        <v>0.12</v>
      </c>
      <c r="S60" s="58">
        <v>1.55</v>
      </c>
      <c r="T60" s="58">
        <v>0.0</v>
      </c>
      <c r="U60" s="94">
        <v>51.0</v>
      </c>
      <c r="Y60" s="39">
        <v>2.5</v>
      </c>
      <c r="AJ60" s="39">
        <v>1.56</v>
      </c>
      <c r="AK60" s="10" t="s">
        <v>131</v>
      </c>
    </row>
    <row r="61" ht="15.75" customHeight="1">
      <c r="A61" s="45"/>
      <c r="B61" s="39" t="s">
        <v>106</v>
      </c>
      <c r="C61" s="39" t="s">
        <v>132</v>
      </c>
      <c r="D61" s="64">
        <v>10.0</v>
      </c>
      <c r="E61" s="64">
        <v>0.82</v>
      </c>
      <c r="F61" s="64">
        <v>0.38</v>
      </c>
      <c r="G61" s="64">
        <v>0.0</v>
      </c>
      <c r="H61" s="64">
        <v>0.0</v>
      </c>
      <c r="I61" s="64">
        <v>42.71</v>
      </c>
      <c r="J61" s="64">
        <v>33.21</v>
      </c>
      <c r="K61" s="112">
        <v>38.25</v>
      </c>
      <c r="L61" s="113">
        <v>3.51</v>
      </c>
      <c r="M61" s="61">
        <v>0.0</v>
      </c>
      <c r="N61" s="114">
        <v>0.16</v>
      </c>
      <c r="O61" s="64">
        <v>203.04</v>
      </c>
      <c r="P61" s="64">
        <v>5358.0</v>
      </c>
      <c r="Q61" s="64">
        <v>0.0</v>
      </c>
      <c r="R61" s="64">
        <v>0.0</v>
      </c>
      <c r="S61" s="58">
        <v>0.0</v>
      </c>
      <c r="T61" s="58">
        <v>0.0</v>
      </c>
      <c r="U61" s="61"/>
      <c r="AK61" s="10"/>
    </row>
    <row r="62" ht="15.75" customHeight="1">
      <c r="A62" s="45"/>
      <c r="B62" s="39" t="s">
        <v>106</v>
      </c>
      <c r="C62" s="39" t="s">
        <v>133</v>
      </c>
      <c r="D62" s="64">
        <v>10.0</v>
      </c>
      <c r="E62" s="64">
        <v>1.5</v>
      </c>
      <c r="F62" s="64">
        <v>0.1</v>
      </c>
      <c r="G62" s="64">
        <v>0.0</v>
      </c>
      <c r="H62" s="64">
        <v>0.0</v>
      </c>
      <c r="I62" s="64">
        <v>48.0</v>
      </c>
      <c r="J62" s="64">
        <v>4.0</v>
      </c>
      <c r="K62" s="112">
        <v>2.0</v>
      </c>
      <c r="L62" s="113">
        <v>0.0</v>
      </c>
      <c r="M62" s="61">
        <v>0.0</v>
      </c>
      <c r="N62" s="114">
        <v>1.0</v>
      </c>
      <c r="O62" s="64">
        <v>17000.0</v>
      </c>
      <c r="P62" s="64">
        <v>0.0</v>
      </c>
      <c r="Q62" s="64">
        <v>0.0</v>
      </c>
      <c r="R62" s="64">
        <v>0.0</v>
      </c>
      <c r="S62" s="58">
        <v>0.0</v>
      </c>
      <c r="T62" s="58">
        <v>0.0</v>
      </c>
      <c r="U62" s="61"/>
      <c r="AK62" s="10"/>
    </row>
    <row r="63" ht="15.75" customHeight="1">
      <c r="D63" s="64"/>
      <c r="E63" s="64"/>
      <c r="F63" s="64"/>
      <c r="G63" s="64"/>
      <c r="H63" s="64"/>
      <c r="I63" s="64"/>
      <c r="J63" s="64"/>
      <c r="K63" s="112"/>
      <c r="L63" s="113"/>
      <c r="M63" s="61"/>
      <c r="N63" s="114"/>
      <c r="O63" s="64"/>
      <c r="P63" s="64"/>
      <c r="Q63" s="64"/>
      <c r="R63" s="64"/>
      <c r="S63" s="58"/>
      <c r="T63" s="58"/>
      <c r="AK63" s="10"/>
    </row>
    <row r="64" ht="15.75" customHeight="1">
      <c r="B64" s="39" t="s">
        <v>134</v>
      </c>
      <c r="C64" s="39" t="s">
        <v>135</v>
      </c>
      <c r="D64" s="112">
        <v>0.0</v>
      </c>
      <c r="E64" s="112">
        <v>1.0</v>
      </c>
      <c r="F64" s="112">
        <v>0.2</v>
      </c>
      <c r="G64" s="112">
        <v>0.0</v>
      </c>
      <c r="H64" s="112">
        <v>0.0</v>
      </c>
      <c r="I64" s="112">
        <v>10.4</v>
      </c>
      <c r="J64" s="112">
        <v>79.1</v>
      </c>
      <c r="K64" s="112">
        <v>15.2</v>
      </c>
      <c r="L64" s="121">
        <v>0.0</v>
      </c>
      <c r="M64" s="43">
        <v>0.0</v>
      </c>
      <c r="N64" s="122">
        <v>6.6</v>
      </c>
      <c r="O64" s="112">
        <v>73.0</v>
      </c>
      <c r="P64" s="112">
        <v>384.0</v>
      </c>
      <c r="Q64" s="112">
        <v>3.9</v>
      </c>
      <c r="R64" s="112">
        <v>0.0</v>
      </c>
      <c r="S64" s="50">
        <v>0.0</v>
      </c>
      <c r="T64" s="50">
        <v>0.0</v>
      </c>
      <c r="AK64" s="10"/>
    </row>
    <row r="65" ht="15.75" customHeight="1">
      <c r="B65" s="39" t="s">
        <v>134</v>
      </c>
      <c r="C65" s="39" t="s">
        <v>136</v>
      </c>
      <c r="D65" s="64">
        <v>0.0</v>
      </c>
      <c r="E65" s="64">
        <v>13.0</v>
      </c>
      <c r="F65" s="64">
        <v>0.43</v>
      </c>
      <c r="G65" s="64">
        <v>0.0</v>
      </c>
      <c r="H65" s="64"/>
      <c r="I65" s="64">
        <v>15.0</v>
      </c>
      <c r="J65" s="64">
        <v>58.0</v>
      </c>
      <c r="K65" s="64">
        <v>25.0</v>
      </c>
      <c r="L65" s="113">
        <v>0.0</v>
      </c>
      <c r="M65" s="61">
        <v>0.0</v>
      </c>
      <c r="N65" s="114">
        <v>18.0</v>
      </c>
      <c r="O65" s="64">
        <v>30.0</v>
      </c>
      <c r="P65" s="64">
        <v>180.0</v>
      </c>
      <c r="Q65" s="64">
        <v>5.0</v>
      </c>
      <c r="R65" s="64">
        <v>1.9</v>
      </c>
      <c r="S65" s="58">
        <v>4450.0</v>
      </c>
      <c r="T65" s="58">
        <v>0.0</v>
      </c>
      <c r="AK65" s="10"/>
    </row>
    <row r="66" ht="15.75" customHeight="1">
      <c r="B66" s="39" t="s">
        <v>134</v>
      </c>
      <c r="C66" s="39" t="s">
        <v>137</v>
      </c>
      <c r="D66" s="64">
        <v>6.75</v>
      </c>
      <c r="E66" s="64">
        <v>0.8</v>
      </c>
      <c r="F66" s="64">
        <v>0.0</v>
      </c>
      <c r="G66" s="64">
        <v>0.0</v>
      </c>
      <c r="H66" s="64">
        <v>0.0</v>
      </c>
      <c r="I66" s="64">
        <v>17.0</v>
      </c>
      <c r="J66" s="64">
        <v>75.0</v>
      </c>
      <c r="K66" s="64">
        <v>24.0</v>
      </c>
      <c r="L66" s="113">
        <v>0.0</v>
      </c>
      <c r="M66" s="61">
        <v>0.0</v>
      </c>
      <c r="N66" s="114">
        <v>9.9</v>
      </c>
      <c r="O66" s="64">
        <v>60.0</v>
      </c>
      <c r="P66" s="64">
        <v>55.0</v>
      </c>
      <c r="Q66" s="64">
        <v>5.6</v>
      </c>
      <c r="R66" s="64">
        <v>0.0</v>
      </c>
      <c r="S66" s="58">
        <v>0.0</v>
      </c>
      <c r="T66" s="58">
        <v>0.0</v>
      </c>
      <c r="AJ66" s="39">
        <v>300.0</v>
      </c>
      <c r="AK66" s="10"/>
    </row>
    <row r="67" ht="15.75" customHeight="1">
      <c r="B67" s="39" t="s">
        <v>134</v>
      </c>
      <c r="C67" s="39" t="s">
        <v>138</v>
      </c>
      <c r="D67" s="64">
        <v>0.0</v>
      </c>
      <c r="E67" s="64">
        <v>3.3</v>
      </c>
      <c r="F67" s="64">
        <v>1.0</v>
      </c>
      <c r="G67" s="64">
        <v>0.0</v>
      </c>
      <c r="H67" s="64">
        <v>0.0</v>
      </c>
      <c r="I67" s="64">
        <v>11.0</v>
      </c>
      <c r="J67" s="64">
        <v>64.8</v>
      </c>
      <c r="K67" s="64">
        <v>26.5</v>
      </c>
      <c r="L67" s="113">
        <v>0.0</v>
      </c>
      <c r="M67" s="61">
        <v>0.0</v>
      </c>
      <c r="N67" s="114">
        <v>0.0</v>
      </c>
      <c r="O67" s="64">
        <v>44.0</v>
      </c>
      <c r="P67" s="64">
        <v>437.0</v>
      </c>
      <c r="Q67" s="64">
        <v>28.9</v>
      </c>
      <c r="R67" s="64">
        <v>0.0</v>
      </c>
      <c r="S67" s="58">
        <v>57.0</v>
      </c>
      <c r="T67" s="58">
        <v>0.0</v>
      </c>
      <c r="AK67" s="10"/>
    </row>
    <row r="68" ht="15.75" customHeight="1">
      <c r="B68" s="39" t="s">
        <v>134</v>
      </c>
      <c r="C68" s="39" t="s">
        <v>139</v>
      </c>
      <c r="D68" s="64">
        <v>14.0</v>
      </c>
      <c r="E68" s="64">
        <v>22.0</v>
      </c>
      <c r="F68" s="64">
        <v>1.5</v>
      </c>
      <c r="G68" s="64">
        <v>0.0</v>
      </c>
      <c r="H68" s="64">
        <v>0.0</v>
      </c>
      <c r="I68" s="64">
        <v>18.0</v>
      </c>
      <c r="J68" s="64">
        <v>44.0</v>
      </c>
      <c r="K68" s="112">
        <v>2.3</v>
      </c>
      <c r="L68" s="113">
        <v>0.0</v>
      </c>
      <c r="M68" s="61">
        <v>0.0</v>
      </c>
      <c r="N68" s="114">
        <v>11.0</v>
      </c>
      <c r="O68" s="64">
        <v>168.0</v>
      </c>
      <c r="P68" s="64">
        <v>791.0</v>
      </c>
      <c r="Q68" s="64">
        <v>56.0</v>
      </c>
      <c r="R68" s="64">
        <v>0.0</v>
      </c>
      <c r="S68" s="58">
        <v>324.0</v>
      </c>
      <c r="T68" s="58">
        <v>0.0</v>
      </c>
      <c r="AK68" s="10"/>
    </row>
    <row r="69" ht="15.75" customHeight="1">
      <c r="B69" s="39" t="s">
        <v>134</v>
      </c>
      <c r="C69" s="39" t="s">
        <v>140</v>
      </c>
      <c r="D69" s="132">
        <f>100-(I69+E69+J69+N69)</f>
        <v>11.2</v>
      </c>
      <c r="E69" s="132">
        <v>4.8</v>
      </c>
      <c r="F69" s="132">
        <v>0.0</v>
      </c>
      <c r="G69" s="132">
        <v>0.0</v>
      </c>
      <c r="H69" s="132">
        <v>0.0</v>
      </c>
      <c r="I69" s="132">
        <v>22.0</v>
      </c>
      <c r="J69" s="132">
        <v>52.0</v>
      </c>
      <c r="K69" s="132">
        <v>7.3</v>
      </c>
      <c r="L69" s="133">
        <v>0.0</v>
      </c>
      <c r="M69" s="134">
        <v>0.0</v>
      </c>
      <c r="N69" s="135">
        <v>10.0</v>
      </c>
      <c r="O69" s="132">
        <v>211.0</v>
      </c>
      <c r="P69" s="132">
        <v>1063.0</v>
      </c>
      <c r="Q69" s="132">
        <v>36.0</v>
      </c>
      <c r="R69" s="132">
        <v>4.0</v>
      </c>
      <c r="S69" s="134">
        <v>0.0</v>
      </c>
      <c r="T69" s="134">
        <v>0.0</v>
      </c>
      <c r="AK69" s="10"/>
    </row>
    <row r="70" ht="15.75" customHeight="1">
      <c r="B70" s="39" t="s">
        <v>134</v>
      </c>
      <c r="C70" s="39" t="s">
        <v>141</v>
      </c>
      <c r="D70" s="112">
        <v>0.0</v>
      </c>
      <c r="E70" s="112">
        <v>0.0</v>
      </c>
      <c r="F70" s="112">
        <v>0.0</v>
      </c>
      <c r="G70" s="112">
        <v>0.0</v>
      </c>
      <c r="H70" s="112">
        <v>0.0</v>
      </c>
      <c r="I70" s="112">
        <v>16.0</v>
      </c>
      <c r="J70" s="112">
        <v>40.0</v>
      </c>
      <c r="K70" s="112">
        <v>36.0</v>
      </c>
      <c r="L70" s="121">
        <v>0.0</v>
      </c>
      <c r="M70" s="43">
        <v>0.0</v>
      </c>
      <c r="N70" s="122">
        <v>0.0</v>
      </c>
      <c r="O70" s="112">
        <v>65.0</v>
      </c>
      <c r="P70" s="112">
        <v>220.0</v>
      </c>
      <c r="Q70" s="112">
        <v>0.0</v>
      </c>
      <c r="R70" s="112">
        <v>0.0</v>
      </c>
      <c r="S70" s="50">
        <v>30.0</v>
      </c>
      <c r="T70" s="50">
        <v>0.0</v>
      </c>
      <c r="AK70" s="10"/>
    </row>
    <row r="71" ht="15.75" customHeight="1">
      <c r="A71" s="57" t="s">
        <v>142</v>
      </c>
      <c r="B71" s="39" t="s">
        <v>134</v>
      </c>
      <c r="C71" s="39" t="s">
        <v>143</v>
      </c>
      <c r="D71" s="64">
        <v>83.0</v>
      </c>
      <c r="E71" s="64">
        <v>0.3</v>
      </c>
      <c r="F71" s="64">
        <v>0.04</v>
      </c>
      <c r="G71" s="64">
        <v>0.0</v>
      </c>
      <c r="H71" s="64">
        <v>0.0</v>
      </c>
      <c r="I71" s="64">
        <v>1.5</v>
      </c>
      <c r="J71" s="64">
        <v>14.2</v>
      </c>
      <c r="K71" s="112">
        <v>3.9</v>
      </c>
      <c r="L71" s="113">
        <v>0.0</v>
      </c>
      <c r="M71" s="61">
        <v>0.0</v>
      </c>
      <c r="N71" s="114">
        <v>1.8</v>
      </c>
      <c r="O71" s="64">
        <v>20.0</v>
      </c>
      <c r="P71" s="64">
        <v>59.0</v>
      </c>
      <c r="Q71" s="64">
        <v>2.1</v>
      </c>
      <c r="R71" s="64">
        <v>0.12</v>
      </c>
      <c r="S71" s="58">
        <v>83.0</v>
      </c>
      <c r="T71" s="58">
        <v>0.0</v>
      </c>
      <c r="X71" s="39">
        <v>35.0</v>
      </c>
      <c r="AK71" s="10"/>
    </row>
    <row r="72" ht="15.75" customHeight="1">
      <c r="A72" s="45" t="s">
        <v>144</v>
      </c>
      <c r="B72" s="39" t="s">
        <v>134</v>
      </c>
      <c r="C72" s="39" t="s">
        <v>145</v>
      </c>
      <c r="D72" s="122">
        <v>3.06</v>
      </c>
      <c r="E72" s="112">
        <v>0.44</v>
      </c>
      <c r="F72" s="112">
        <v>0.062</v>
      </c>
      <c r="G72" s="112">
        <v>0.0</v>
      </c>
      <c r="H72" s="112">
        <v>0.0</v>
      </c>
      <c r="I72" s="112">
        <v>12.9</v>
      </c>
      <c r="J72" s="112">
        <v>74.7</v>
      </c>
      <c r="K72" s="112">
        <v>43.9</v>
      </c>
      <c r="L72" s="121">
        <v>0.0</v>
      </c>
      <c r="M72" s="43">
        <v>0.0</v>
      </c>
      <c r="N72" s="122">
        <v>16.5</v>
      </c>
      <c r="O72" s="112">
        <v>134.0</v>
      </c>
      <c r="P72" s="112">
        <v>166.0</v>
      </c>
      <c r="Q72" s="112">
        <v>4.56</v>
      </c>
      <c r="R72" s="112">
        <v>1.71</v>
      </c>
      <c r="S72" s="50">
        <v>862.0</v>
      </c>
      <c r="T72" s="123">
        <v>0.0</v>
      </c>
      <c r="X72" s="39">
        <v>295.0</v>
      </c>
      <c r="AK72" s="10"/>
    </row>
    <row r="73" ht="15.75" customHeight="1">
      <c r="A73" s="45" t="s">
        <v>146</v>
      </c>
      <c r="B73" s="39" t="s">
        <v>134</v>
      </c>
      <c r="C73" s="39" t="s">
        <v>147</v>
      </c>
      <c r="D73" s="43">
        <v>8.05</v>
      </c>
      <c r="E73" s="43">
        <v>17.3</v>
      </c>
      <c r="F73" s="43">
        <v>3.26</v>
      </c>
      <c r="G73" s="43">
        <v>0.0</v>
      </c>
      <c r="H73" s="43">
        <v>0.0</v>
      </c>
      <c r="I73" s="43">
        <v>12.0</v>
      </c>
      <c r="J73" s="43">
        <v>56.6</v>
      </c>
      <c r="K73" s="43">
        <v>10.3</v>
      </c>
      <c r="L73" s="43">
        <v>0.0</v>
      </c>
      <c r="M73" s="43">
        <v>0.0</v>
      </c>
      <c r="N73" s="43">
        <v>27.2</v>
      </c>
      <c r="O73" s="43">
        <v>30.0</v>
      </c>
      <c r="P73" s="43">
        <v>148.0</v>
      </c>
      <c r="Q73" s="43">
        <v>7.8</v>
      </c>
      <c r="R73" s="43">
        <v>2.48</v>
      </c>
      <c r="S73" s="50">
        <v>2080.0</v>
      </c>
      <c r="T73" s="123">
        <v>0.0</v>
      </c>
      <c r="X73" s="39">
        <v>293.0</v>
      </c>
      <c r="AK73" s="10"/>
    </row>
    <row r="74" ht="15.75" customHeight="1">
      <c r="A74" s="45" t="s">
        <v>149</v>
      </c>
      <c r="B74" s="39" t="s">
        <v>134</v>
      </c>
      <c r="C74" s="39" t="s">
        <v>150</v>
      </c>
      <c r="D74" s="43">
        <v>5.89</v>
      </c>
      <c r="E74" s="43">
        <v>5.48</v>
      </c>
      <c r="F74" s="43">
        <v>1.38</v>
      </c>
      <c r="G74" s="43">
        <v>0.0</v>
      </c>
      <c r="H74" s="43">
        <v>0.0</v>
      </c>
      <c r="I74" s="43">
        <v>26.6</v>
      </c>
      <c r="J74" s="43">
        <v>50.6</v>
      </c>
      <c r="K74" s="43">
        <v>7.27</v>
      </c>
      <c r="L74" s="43">
        <v>0.0</v>
      </c>
      <c r="M74" s="43">
        <v>0.0</v>
      </c>
      <c r="N74" s="43">
        <v>26.7</v>
      </c>
      <c r="O74" s="43">
        <v>452.0</v>
      </c>
      <c r="P74" s="43">
        <v>1140.0</v>
      </c>
      <c r="Q74" s="43">
        <v>22.0</v>
      </c>
      <c r="R74" s="43">
        <v>5.44</v>
      </c>
      <c r="S74" s="50">
        <v>97.0</v>
      </c>
      <c r="T74" s="123">
        <v>0.0</v>
      </c>
      <c r="X74" s="39">
        <v>436.0</v>
      </c>
      <c r="AK74" s="10"/>
    </row>
    <row r="75" ht="15.75" customHeight="1">
      <c r="A75" s="57" t="s">
        <v>151</v>
      </c>
      <c r="B75" s="39" t="s">
        <v>134</v>
      </c>
      <c r="C75" s="39" t="s">
        <v>152</v>
      </c>
      <c r="D75" s="43">
        <v>9.93</v>
      </c>
      <c r="E75" s="43">
        <v>4.28</v>
      </c>
      <c r="F75" s="43">
        <v>1.55</v>
      </c>
      <c r="G75" s="43">
        <v>0.0</v>
      </c>
      <c r="H75" s="43">
        <v>0.0</v>
      </c>
      <c r="I75" s="43">
        <v>9.0</v>
      </c>
      <c r="J75" s="43">
        <v>68.9</v>
      </c>
      <c r="K75" s="43">
        <v>4.09</v>
      </c>
      <c r="L75" s="43">
        <v>0.0</v>
      </c>
      <c r="M75" s="43">
        <v>0.0</v>
      </c>
      <c r="N75" s="43">
        <v>42.5</v>
      </c>
      <c r="O75" s="43">
        <v>25.0</v>
      </c>
      <c r="P75" s="43">
        <v>1600.0</v>
      </c>
      <c r="Q75" s="43">
        <v>36.8</v>
      </c>
      <c r="R75" s="43">
        <v>2.69</v>
      </c>
      <c r="S75" s="50">
        <v>85.0</v>
      </c>
      <c r="T75" s="123">
        <v>0.0</v>
      </c>
      <c r="X75" s="39">
        <v>148.0</v>
      </c>
      <c r="AK75" s="10"/>
    </row>
    <row r="76" ht="15.75" customHeight="1">
      <c r="A76" s="45" t="s">
        <v>153</v>
      </c>
      <c r="B76" s="39" t="s">
        <v>134</v>
      </c>
      <c r="C76" s="39" t="s">
        <v>154</v>
      </c>
      <c r="D76" s="43">
        <v>7.79</v>
      </c>
      <c r="E76" s="43">
        <v>7.43</v>
      </c>
      <c r="F76" s="43">
        <v>2.73</v>
      </c>
      <c r="G76" s="43">
        <v>0.0</v>
      </c>
      <c r="H76" s="43">
        <v>0.0</v>
      </c>
      <c r="I76" s="43">
        <v>9.11</v>
      </c>
      <c r="J76" s="43">
        <v>63.9</v>
      </c>
      <c r="K76" s="43">
        <v>1.71</v>
      </c>
      <c r="L76" s="43">
        <v>0.0</v>
      </c>
      <c r="M76" s="43">
        <v>0.0</v>
      </c>
      <c r="N76" s="43">
        <v>37.0</v>
      </c>
      <c r="O76" s="43">
        <v>55.0</v>
      </c>
      <c r="P76" s="43">
        <v>1890.0</v>
      </c>
      <c r="Q76" s="43">
        <v>124.0</v>
      </c>
      <c r="R76" s="43">
        <v>6.18</v>
      </c>
      <c r="S76" s="50">
        <v>190.0</v>
      </c>
      <c r="T76" s="123">
        <v>0.0</v>
      </c>
      <c r="X76" s="39">
        <v>201.0</v>
      </c>
      <c r="AK76" s="10"/>
    </row>
    <row r="77" ht="15.75" customHeight="1">
      <c r="A77" s="45" t="s">
        <v>155</v>
      </c>
      <c r="B77" s="39" t="s">
        <v>134</v>
      </c>
      <c r="C77" s="39" t="s">
        <v>156</v>
      </c>
      <c r="D77" s="43">
        <v>6.23</v>
      </c>
      <c r="E77" s="43">
        <v>36.3</v>
      </c>
      <c r="F77" s="43">
        <v>25.9</v>
      </c>
      <c r="G77" s="43">
        <v>0.0</v>
      </c>
      <c r="H77" s="43">
        <v>0.0</v>
      </c>
      <c r="I77" s="43">
        <v>5.84</v>
      </c>
      <c r="J77" s="43">
        <v>49.3</v>
      </c>
      <c r="K77" s="43">
        <v>2.99</v>
      </c>
      <c r="L77" s="43">
        <v>0.0</v>
      </c>
      <c r="M77" s="43">
        <v>0.0</v>
      </c>
      <c r="N77" s="43">
        <v>20.8</v>
      </c>
      <c r="O77" s="43">
        <v>16.0</v>
      </c>
      <c r="P77" s="43">
        <v>184.0</v>
      </c>
      <c r="Q77" s="43">
        <v>3.04</v>
      </c>
      <c r="R77" s="43">
        <v>2.15</v>
      </c>
      <c r="S77" s="50">
        <v>30.6</v>
      </c>
      <c r="T77" s="123">
        <v>0.0</v>
      </c>
      <c r="X77" s="39">
        <v>213.0</v>
      </c>
      <c r="AK77" s="10"/>
    </row>
    <row r="78" ht="15.75" customHeight="1">
      <c r="A78" s="45" t="s">
        <v>157</v>
      </c>
      <c r="B78" s="39" t="s">
        <v>134</v>
      </c>
      <c r="C78" s="39" t="s">
        <v>158</v>
      </c>
      <c r="D78" s="43">
        <v>9.87</v>
      </c>
      <c r="E78" s="43">
        <v>13.0</v>
      </c>
      <c r="F78" s="43">
        <v>3.95</v>
      </c>
      <c r="G78" s="43">
        <v>0.254</v>
      </c>
      <c r="H78" s="43">
        <v>0.0</v>
      </c>
      <c r="I78" s="43">
        <v>5.97</v>
      </c>
      <c r="J78" s="43">
        <v>65.5</v>
      </c>
      <c r="K78" s="43">
        <v>2.38</v>
      </c>
      <c r="L78" s="43">
        <v>0.0</v>
      </c>
      <c r="M78" s="43">
        <v>0.0</v>
      </c>
      <c r="N78" s="43">
        <v>33.9</v>
      </c>
      <c r="O78" s="43">
        <v>277.0</v>
      </c>
      <c r="P78" s="43">
        <v>632.0</v>
      </c>
      <c r="Q78" s="43">
        <v>11.8</v>
      </c>
      <c r="R78" s="43">
        <v>2.32</v>
      </c>
      <c r="S78" s="50">
        <v>8.0</v>
      </c>
      <c r="T78" s="123">
        <v>0.0</v>
      </c>
      <c r="X78" s="39">
        <v>104.0</v>
      </c>
      <c r="AK78" s="10"/>
    </row>
    <row r="79" ht="15.75" customHeight="1">
      <c r="A79" s="45"/>
      <c r="B79" s="39" t="s">
        <v>134</v>
      </c>
      <c r="C79" s="39" t="s">
        <v>159</v>
      </c>
      <c r="D79" s="43">
        <v>8.0</v>
      </c>
      <c r="E79" s="43">
        <v>18.02</v>
      </c>
      <c r="F79" s="43">
        <v>2.08</v>
      </c>
      <c r="G79" s="43">
        <v>0.0</v>
      </c>
      <c r="H79" s="43">
        <v>0.0</v>
      </c>
      <c r="I79" s="43">
        <v>13.52</v>
      </c>
      <c r="J79" s="43">
        <v>53.24</v>
      </c>
      <c r="K79" s="43">
        <v>7.76</v>
      </c>
      <c r="L79" s="43">
        <v>0.0</v>
      </c>
      <c r="M79" s="43">
        <v>0.0</v>
      </c>
      <c r="N79" s="43">
        <v>28.08</v>
      </c>
      <c r="O79" s="43">
        <v>31.47</v>
      </c>
      <c r="P79" s="43">
        <v>0.0</v>
      </c>
      <c r="Q79" s="43">
        <v>0.0</v>
      </c>
      <c r="R79" s="43">
        <v>0.0</v>
      </c>
      <c r="S79" s="50">
        <v>0.0</v>
      </c>
      <c r="T79" s="123">
        <v>0.0</v>
      </c>
      <c r="AK79" s="10"/>
    </row>
    <row r="80" ht="15.75" customHeight="1">
      <c r="A80" s="45"/>
      <c r="B80" s="39" t="s">
        <v>134</v>
      </c>
      <c r="D80" s="43"/>
      <c r="E80" s="43"/>
      <c r="F80" s="43"/>
      <c r="G80" s="43"/>
      <c r="H80" s="43"/>
      <c r="I80" s="43"/>
      <c r="J80" s="43"/>
      <c r="K80" s="43"/>
      <c r="L80" s="43"/>
      <c r="M80" s="43"/>
      <c r="N80" s="43"/>
      <c r="O80" s="43"/>
      <c r="P80" s="43"/>
      <c r="Q80" s="43"/>
      <c r="R80" s="43"/>
      <c r="S80" s="50"/>
      <c r="T80" s="123"/>
      <c r="AK80" s="10"/>
    </row>
    <row r="81" ht="15.75" customHeight="1">
      <c r="A81" s="45"/>
      <c r="D81" s="43"/>
      <c r="E81" s="43"/>
      <c r="F81" s="43"/>
      <c r="G81" s="43"/>
      <c r="H81" s="43"/>
      <c r="I81" s="43"/>
      <c r="J81" s="43"/>
      <c r="K81" s="43"/>
      <c r="L81" s="43"/>
      <c r="M81" s="43"/>
      <c r="N81" s="43"/>
      <c r="O81" s="43"/>
      <c r="P81" s="43"/>
      <c r="Q81" s="43"/>
      <c r="R81" s="43"/>
      <c r="S81" s="50"/>
      <c r="T81" s="123"/>
      <c r="AK81" s="10"/>
    </row>
    <row r="82" ht="15.75" customHeight="1">
      <c r="A82" s="45"/>
      <c r="D82" s="43"/>
      <c r="E82" s="43"/>
      <c r="F82" s="43"/>
      <c r="G82" s="43"/>
      <c r="H82" s="43"/>
      <c r="I82" s="43"/>
      <c r="J82" s="43"/>
      <c r="K82" s="43"/>
      <c r="L82" s="43"/>
      <c r="M82" s="43"/>
      <c r="N82" s="43"/>
      <c r="O82" s="43"/>
      <c r="P82" s="43"/>
      <c r="Q82" s="43"/>
      <c r="R82" s="43"/>
      <c r="S82" s="50"/>
      <c r="T82" s="123"/>
      <c r="AK82" s="10"/>
    </row>
    <row r="83" ht="15.75" customHeight="1">
      <c r="B83" s="39" t="s">
        <v>160</v>
      </c>
      <c r="C83" s="39" t="s">
        <v>161</v>
      </c>
      <c r="D83" s="64">
        <v>0.0</v>
      </c>
      <c r="E83" s="64">
        <v>0.0</v>
      </c>
      <c r="F83" s="64">
        <v>0.0</v>
      </c>
      <c r="G83" s="64">
        <v>0.0</v>
      </c>
      <c r="H83" s="64">
        <v>0.0</v>
      </c>
      <c r="I83" s="64">
        <v>0.0</v>
      </c>
      <c r="J83" s="64">
        <v>0.0</v>
      </c>
      <c r="K83" s="64">
        <v>0.0</v>
      </c>
      <c r="L83" s="113">
        <v>0.0</v>
      </c>
      <c r="M83" s="61">
        <v>0.0</v>
      </c>
      <c r="N83" s="114">
        <v>0.0</v>
      </c>
      <c r="O83" s="64">
        <v>19500.0</v>
      </c>
      <c r="P83" s="64">
        <v>0.0</v>
      </c>
      <c r="Q83" s="64">
        <v>0.0</v>
      </c>
      <c r="R83" s="64">
        <v>0.0</v>
      </c>
      <c r="S83" s="58">
        <v>0.0</v>
      </c>
      <c r="T83" s="58">
        <v>0.0</v>
      </c>
      <c r="U83" s="129">
        <v>50.0</v>
      </c>
      <c r="Z83" s="39">
        <v>50.0</v>
      </c>
      <c r="AK83" s="10"/>
    </row>
    <row r="84" ht="15.75" customHeight="1">
      <c r="B84" s="39" t="s">
        <v>160</v>
      </c>
      <c r="C84" s="39" t="s">
        <v>162</v>
      </c>
      <c r="D84" s="61">
        <v>0.0</v>
      </c>
      <c r="E84" s="61">
        <v>0.0</v>
      </c>
      <c r="F84" s="61">
        <v>0.0</v>
      </c>
      <c r="G84" s="61">
        <v>0.0</v>
      </c>
      <c r="H84" s="61">
        <v>0.0</v>
      </c>
      <c r="I84" s="61">
        <v>0.0</v>
      </c>
      <c r="J84" s="61">
        <v>0.0</v>
      </c>
      <c r="K84" s="61">
        <v>0.0</v>
      </c>
      <c r="L84" s="61">
        <v>0.0</v>
      </c>
      <c r="M84" s="61">
        <v>0.0</v>
      </c>
      <c r="N84" s="61">
        <v>0.0</v>
      </c>
      <c r="O84" s="61">
        <v>29250.0</v>
      </c>
      <c r="P84" s="61">
        <v>0.0</v>
      </c>
      <c r="Q84" s="61">
        <v>0.0</v>
      </c>
      <c r="R84" s="61">
        <v>0.0</v>
      </c>
      <c r="S84" s="58">
        <v>0.0</v>
      </c>
      <c r="T84" s="103">
        <v>0.0</v>
      </c>
      <c r="U84" s="129">
        <v>75.0</v>
      </c>
      <c r="Z84" s="39">
        <v>25.0</v>
      </c>
      <c r="AK84" s="10"/>
    </row>
    <row r="85" ht="15.75" customHeight="1">
      <c r="B85" s="39" t="s">
        <v>160</v>
      </c>
      <c r="C85" s="39" t="s">
        <v>163</v>
      </c>
      <c r="D85" s="114">
        <v>0.0</v>
      </c>
      <c r="E85" s="64">
        <v>0.0</v>
      </c>
      <c r="F85" s="64">
        <v>0.0</v>
      </c>
      <c r="G85" s="64">
        <v>0.0</v>
      </c>
      <c r="H85" s="64">
        <v>0.0</v>
      </c>
      <c r="I85" s="64">
        <v>0.001</v>
      </c>
      <c r="J85" s="64">
        <v>0.005</v>
      </c>
      <c r="K85" s="112">
        <v>0.0</v>
      </c>
      <c r="L85" s="113">
        <v>0.0</v>
      </c>
      <c r="M85" s="61">
        <v>0.0</v>
      </c>
      <c r="N85" s="114">
        <v>0.0</v>
      </c>
      <c r="O85" s="64">
        <v>38339.0</v>
      </c>
      <c r="P85" s="64">
        <v>0.0</v>
      </c>
      <c r="Q85" s="64">
        <v>0.0</v>
      </c>
      <c r="R85" s="64">
        <v>0.0</v>
      </c>
      <c r="S85" s="58">
        <v>0.0</v>
      </c>
      <c r="T85" s="103">
        <v>0.0</v>
      </c>
      <c r="U85" s="131">
        <v>87.95</v>
      </c>
      <c r="V85" s="131">
        <v>12.5</v>
      </c>
      <c r="AK85" s="10"/>
    </row>
    <row r="86" ht="15.75" customHeight="1">
      <c r="B86" s="39" t="s">
        <v>160</v>
      </c>
      <c r="C86" s="39" t="s">
        <v>164</v>
      </c>
      <c r="D86" s="122">
        <v>0.0</v>
      </c>
      <c r="E86" s="112">
        <v>2.0</v>
      </c>
      <c r="F86" s="112">
        <v>2.0</v>
      </c>
      <c r="G86" s="112">
        <v>0.0</v>
      </c>
      <c r="H86" s="112">
        <v>0.0</v>
      </c>
      <c r="I86" s="112">
        <v>1.0</v>
      </c>
      <c r="J86" s="112">
        <v>33.0</v>
      </c>
      <c r="K86" s="112">
        <v>2.0</v>
      </c>
      <c r="L86" s="121">
        <v>2.0</v>
      </c>
      <c r="M86" s="43">
        <v>0.0</v>
      </c>
      <c r="N86" s="122">
        <v>0.0</v>
      </c>
      <c r="O86" s="112">
        <v>17000.0</v>
      </c>
      <c r="P86" s="112">
        <v>0.0</v>
      </c>
      <c r="Q86" s="112">
        <v>0.0</v>
      </c>
      <c r="R86" s="112">
        <v>0.0</v>
      </c>
      <c r="S86" s="50">
        <v>0.0</v>
      </c>
      <c r="T86" s="123">
        <v>0.0</v>
      </c>
      <c r="U86" s="129">
        <v>3.5</v>
      </c>
      <c r="V86" s="129"/>
      <c r="Z86" s="39">
        <v>0.125</v>
      </c>
      <c r="AH86" s="39">
        <v>56.0</v>
      </c>
      <c r="AI86" s="39">
        <v>4.0</v>
      </c>
      <c r="AK86" s="10"/>
    </row>
    <row r="87" ht="15.75" customHeight="1">
      <c r="B87" s="39" t="s">
        <v>160</v>
      </c>
      <c r="C87" s="39" t="s">
        <v>165</v>
      </c>
      <c r="D87" s="43">
        <v>0.0</v>
      </c>
      <c r="E87" s="43">
        <v>0.0</v>
      </c>
      <c r="F87" s="43">
        <v>0.0</v>
      </c>
      <c r="G87" s="43">
        <v>0.0</v>
      </c>
      <c r="H87" s="43">
        <v>0.0</v>
      </c>
      <c r="I87" s="43">
        <v>0.0</v>
      </c>
      <c r="J87" s="43">
        <v>0.0</v>
      </c>
      <c r="K87" s="43">
        <v>0.0</v>
      </c>
      <c r="L87" s="43">
        <v>0.0</v>
      </c>
      <c r="M87" s="43">
        <v>0.0</v>
      </c>
      <c r="N87" s="43">
        <v>0.0</v>
      </c>
      <c r="O87" s="43">
        <v>0.0</v>
      </c>
      <c r="P87" s="43">
        <v>0.0</v>
      </c>
      <c r="Q87" s="43">
        <v>0.0</v>
      </c>
      <c r="R87" s="43">
        <v>0.0</v>
      </c>
      <c r="S87" s="43">
        <v>0.0</v>
      </c>
      <c r="T87" s="43">
        <v>0.0</v>
      </c>
      <c r="U87" s="129"/>
      <c r="V87" s="129"/>
      <c r="AK87" s="10"/>
    </row>
    <row r="88" ht="15.75" customHeight="1">
      <c r="B88" s="39" t="s">
        <v>160</v>
      </c>
      <c r="C88" s="39" t="s">
        <v>166</v>
      </c>
      <c r="D88" s="43">
        <v>0.0</v>
      </c>
      <c r="E88" s="43">
        <v>0.0</v>
      </c>
      <c r="F88" s="43">
        <v>0.0</v>
      </c>
      <c r="G88" s="43">
        <v>0.0</v>
      </c>
      <c r="H88" s="43">
        <v>0.0</v>
      </c>
      <c r="I88" s="43">
        <v>0.0</v>
      </c>
      <c r="J88" s="43">
        <v>0.0</v>
      </c>
      <c r="K88" s="43">
        <v>0.0</v>
      </c>
      <c r="L88" s="43">
        <v>0.0</v>
      </c>
      <c r="M88" s="43">
        <v>0.0</v>
      </c>
      <c r="N88" s="43">
        <v>0.0</v>
      </c>
      <c r="O88" s="43">
        <v>22940.0</v>
      </c>
      <c r="P88" s="43">
        <v>0.0</v>
      </c>
      <c r="Q88" s="43">
        <v>0.0</v>
      </c>
      <c r="R88" s="43">
        <v>0.0</v>
      </c>
      <c r="S88" s="43">
        <v>0.0</v>
      </c>
      <c r="T88" s="43">
        <v>0.0</v>
      </c>
      <c r="U88" s="129"/>
      <c r="V88" s="129"/>
      <c r="AJ88" s="39">
        <v>211500.0</v>
      </c>
      <c r="AK88" s="10" t="s">
        <v>167</v>
      </c>
    </row>
    <row r="89" ht="15.75" customHeight="1">
      <c r="D89" s="43"/>
      <c r="E89" s="43"/>
      <c r="F89" s="43"/>
      <c r="G89" s="43"/>
      <c r="H89" s="43"/>
      <c r="I89" s="43"/>
      <c r="J89" s="43"/>
      <c r="K89" s="43"/>
      <c r="L89" s="43"/>
      <c r="M89" s="43"/>
      <c r="N89" s="43"/>
      <c r="O89" s="43"/>
      <c r="P89" s="43"/>
      <c r="Q89" s="43"/>
      <c r="R89" s="43"/>
      <c r="S89" s="50"/>
      <c r="T89" s="123"/>
      <c r="U89" s="129"/>
      <c r="V89" s="129"/>
      <c r="AK89" s="10"/>
    </row>
    <row r="90" ht="15.75" customHeight="1">
      <c r="B90" s="39" t="s">
        <v>168</v>
      </c>
      <c r="C90" s="39" t="s">
        <v>169</v>
      </c>
      <c r="D90" s="61">
        <v>0.0</v>
      </c>
      <c r="E90" s="61">
        <v>0.0</v>
      </c>
      <c r="F90" s="61">
        <v>0.0</v>
      </c>
      <c r="G90" s="61">
        <v>0.0</v>
      </c>
      <c r="H90" s="61">
        <v>0.0</v>
      </c>
      <c r="I90" s="61">
        <v>0.0</v>
      </c>
      <c r="J90" s="61">
        <v>0.0</v>
      </c>
      <c r="K90" s="61">
        <v>0.0</v>
      </c>
      <c r="L90" s="61">
        <v>0.0</v>
      </c>
      <c r="M90" s="61">
        <v>0.0</v>
      </c>
      <c r="N90" s="61">
        <v>0.0</v>
      </c>
      <c r="O90" s="136">
        <v>16180.0</v>
      </c>
      <c r="P90" s="61">
        <v>0.0</v>
      </c>
      <c r="Q90" s="61">
        <v>0.0</v>
      </c>
      <c r="R90" s="61">
        <v>0.0</v>
      </c>
      <c r="S90" s="58">
        <v>0.0</v>
      </c>
      <c r="T90" s="58">
        <v>0.0</v>
      </c>
      <c r="U90" s="129"/>
      <c r="V90" s="129"/>
      <c r="AH90" s="39">
        <v>60.0</v>
      </c>
      <c r="AK90" s="10"/>
    </row>
    <row r="91" ht="15.75" customHeight="1">
      <c r="B91" s="39" t="s">
        <v>168</v>
      </c>
      <c r="C91" s="39" t="s">
        <v>170</v>
      </c>
      <c r="D91" s="122">
        <v>0.0</v>
      </c>
      <c r="E91" s="112">
        <v>0.0</v>
      </c>
      <c r="F91" s="112">
        <v>0.0</v>
      </c>
      <c r="G91" s="112">
        <v>0.0</v>
      </c>
      <c r="H91" s="112">
        <v>0.0</v>
      </c>
      <c r="I91" s="112">
        <v>0.0</v>
      </c>
      <c r="J91" s="112">
        <v>0.0</v>
      </c>
      <c r="K91" s="112">
        <v>0.0</v>
      </c>
      <c r="L91" s="121">
        <v>0.0</v>
      </c>
      <c r="M91" s="43">
        <v>0.0</v>
      </c>
      <c r="N91" s="122">
        <v>0.0</v>
      </c>
      <c r="O91" s="112">
        <v>11100.0</v>
      </c>
      <c r="P91" s="112">
        <v>0.0</v>
      </c>
      <c r="Q91" s="112">
        <v>0.0</v>
      </c>
      <c r="R91" s="112">
        <v>0.0</v>
      </c>
      <c r="S91" s="50">
        <v>0.0</v>
      </c>
      <c r="T91" s="123">
        <v>0.0</v>
      </c>
      <c r="W91" s="118">
        <v>50.0</v>
      </c>
      <c r="X91" s="39">
        <v>21800.0</v>
      </c>
      <c r="AK91" s="10"/>
    </row>
    <row r="92" ht="15.75" customHeight="1">
      <c r="B92" s="39" t="s">
        <v>168</v>
      </c>
      <c r="C92" s="39" t="s">
        <v>171</v>
      </c>
      <c r="D92" s="112">
        <v>0.0</v>
      </c>
      <c r="E92" s="112">
        <v>0.0</v>
      </c>
      <c r="F92" s="112">
        <v>0.0</v>
      </c>
      <c r="G92" s="112">
        <v>0.0</v>
      </c>
      <c r="H92" s="112">
        <v>0.0</v>
      </c>
      <c r="I92" s="112">
        <v>0.0</v>
      </c>
      <c r="J92" s="112">
        <v>0.0</v>
      </c>
      <c r="K92" s="112">
        <v>0.0</v>
      </c>
      <c r="L92" s="121">
        <v>0.0</v>
      </c>
      <c r="M92" s="43">
        <v>0.0</v>
      </c>
      <c r="N92" s="122">
        <v>0.0</v>
      </c>
      <c r="O92" s="112">
        <v>31252.0</v>
      </c>
      <c r="P92" s="112">
        <v>0.0</v>
      </c>
      <c r="Q92" s="112">
        <v>1.0</v>
      </c>
      <c r="R92" s="112">
        <v>0.0</v>
      </c>
      <c r="S92" s="50">
        <v>0.0</v>
      </c>
      <c r="T92" s="50">
        <v>0.0</v>
      </c>
      <c r="U92" s="137">
        <v>3.63</v>
      </c>
      <c r="W92" s="138"/>
      <c r="X92" s="39">
        <v>25261.0</v>
      </c>
      <c r="AK92" s="10"/>
    </row>
    <row r="93" ht="15.75" customHeight="1">
      <c r="B93" s="39" t="s">
        <v>168</v>
      </c>
      <c r="C93" s="39" t="s">
        <v>172</v>
      </c>
      <c r="D93" s="43">
        <v>0.0</v>
      </c>
      <c r="E93" s="43">
        <v>0.0</v>
      </c>
      <c r="F93" s="43">
        <v>0.0</v>
      </c>
      <c r="G93" s="43">
        <v>0.0</v>
      </c>
      <c r="H93" s="43">
        <v>0.0</v>
      </c>
      <c r="I93" s="43">
        <v>0.0</v>
      </c>
      <c r="J93" s="43">
        <v>0.0</v>
      </c>
      <c r="K93" s="43">
        <v>0.0</v>
      </c>
      <c r="L93" s="43">
        <v>0.0</v>
      </c>
      <c r="M93" s="43">
        <v>0.0</v>
      </c>
      <c r="N93" s="43">
        <v>0.0</v>
      </c>
      <c r="O93" s="43">
        <v>1960.0</v>
      </c>
      <c r="P93" s="43">
        <v>0.0</v>
      </c>
      <c r="Q93" s="43">
        <v>0.0</v>
      </c>
      <c r="R93" s="43">
        <v>0.0</v>
      </c>
      <c r="S93" s="50">
        <v>0.0</v>
      </c>
      <c r="T93" s="123">
        <v>0.0</v>
      </c>
      <c r="U93" s="118">
        <v>4.89</v>
      </c>
      <c r="W93" s="118">
        <v>45.0</v>
      </c>
      <c r="X93" s="118">
        <v>19620.0</v>
      </c>
      <c r="AK93" s="10"/>
    </row>
    <row r="94" ht="15.75" customHeight="1">
      <c r="B94" s="39" t="s">
        <v>168</v>
      </c>
      <c r="C94" s="39" t="s">
        <v>173</v>
      </c>
      <c r="D94" s="61">
        <v>0.0</v>
      </c>
      <c r="E94" s="61">
        <v>0.0</v>
      </c>
      <c r="F94" s="61">
        <v>0.0</v>
      </c>
      <c r="G94" s="61">
        <v>0.0</v>
      </c>
      <c r="H94" s="61">
        <v>0.0</v>
      </c>
      <c r="I94" s="61">
        <v>0.0</v>
      </c>
      <c r="J94" s="61">
        <v>0.0</v>
      </c>
      <c r="K94" s="61">
        <v>0.0</v>
      </c>
      <c r="L94" s="61">
        <v>0.0</v>
      </c>
      <c r="M94" s="61">
        <v>0.0</v>
      </c>
      <c r="N94" s="61">
        <v>0.0</v>
      </c>
      <c r="O94" s="61">
        <v>200.0</v>
      </c>
      <c r="P94" s="61">
        <v>0.0</v>
      </c>
      <c r="Q94" s="61">
        <v>0.0</v>
      </c>
      <c r="R94" s="61">
        <v>0.0</v>
      </c>
      <c r="S94" s="94">
        <v>0.0</v>
      </c>
      <c r="T94" s="95">
        <v>0.0</v>
      </c>
      <c r="U94" s="129">
        <v>0.5</v>
      </c>
      <c r="AK94" s="10"/>
    </row>
    <row r="95" ht="15.75" customHeight="1">
      <c r="B95" s="39" t="s">
        <v>168</v>
      </c>
      <c r="C95" s="39" t="s">
        <v>174</v>
      </c>
      <c r="D95" s="61">
        <v>0.1</v>
      </c>
      <c r="E95" s="61">
        <v>0.0</v>
      </c>
      <c r="F95" s="61">
        <v>0.0</v>
      </c>
      <c r="G95" s="61">
        <v>0.0</v>
      </c>
      <c r="H95" s="61">
        <v>0.0</v>
      </c>
      <c r="I95" s="61">
        <v>0.0</v>
      </c>
      <c r="J95" s="61">
        <v>0.0</v>
      </c>
      <c r="K95" s="43">
        <v>0.0</v>
      </c>
      <c r="L95" s="61">
        <v>0.0</v>
      </c>
      <c r="M95" s="61">
        <v>0.0</v>
      </c>
      <c r="N95" s="61">
        <v>0.0</v>
      </c>
      <c r="O95" s="61">
        <v>20722.0</v>
      </c>
      <c r="P95" s="61">
        <v>0.0</v>
      </c>
      <c r="Q95" s="61">
        <v>0.5</v>
      </c>
      <c r="R95" s="61">
        <v>0.0</v>
      </c>
      <c r="S95" s="61">
        <v>0.0</v>
      </c>
      <c r="T95" s="61">
        <v>0.0</v>
      </c>
      <c r="U95" s="129">
        <v>51.6</v>
      </c>
      <c r="X95" s="39">
        <v>27916.0</v>
      </c>
      <c r="AK95" s="10"/>
    </row>
    <row r="96" ht="15.75" customHeight="1">
      <c r="B96" s="39" t="s">
        <v>168</v>
      </c>
      <c r="C96" s="39" t="s">
        <v>175</v>
      </c>
      <c r="D96" s="61">
        <v>0.0</v>
      </c>
      <c r="E96" s="61">
        <v>0.0</v>
      </c>
      <c r="F96" s="61">
        <v>0.0</v>
      </c>
      <c r="G96" s="61">
        <v>0.0</v>
      </c>
      <c r="H96" s="61">
        <v>0.0</v>
      </c>
      <c r="I96" s="61">
        <v>0.0</v>
      </c>
      <c r="J96" s="61">
        <v>0.0</v>
      </c>
      <c r="K96" s="43">
        <v>0.0</v>
      </c>
      <c r="L96" s="61">
        <v>0.0</v>
      </c>
      <c r="M96" s="61">
        <v>0.0</v>
      </c>
      <c r="N96" s="61">
        <v>0.0</v>
      </c>
      <c r="O96" s="61">
        <v>0.0</v>
      </c>
      <c r="P96" s="61">
        <v>0.0</v>
      </c>
      <c r="Q96" s="61">
        <v>0.0</v>
      </c>
      <c r="R96" s="61">
        <v>0.0</v>
      </c>
      <c r="S96" s="61">
        <v>0.0</v>
      </c>
      <c r="T96" s="61">
        <v>0.0</v>
      </c>
      <c r="U96" s="129"/>
      <c r="AK96" s="10"/>
    </row>
    <row r="97" ht="15.75" customHeight="1">
      <c r="AK97" s="10"/>
    </row>
    <row r="98" ht="15.75" customHeight="1">
      <c r="B98" s="39" t="s">
        <v>176</v>
      </c>
      <c r="C98" s="39" t="s">
        <v>177</v>
      </c>
      <c r="D98" s="43">
        <v>53.0</v>
      </c>
      <c r="E98" s="43">
        <v>0.395</v>
      </c>
      <c r="F98" s="43">
        <v>0.012</v>
      </c>
      <c r="G98" s="43">
        <v>0.0</v>
      </c>
      <c r="H98" s="43">
        <v>0.0</v>
      </c>
      <c r="I98" s="43">
        <v>14.063</v>
      </c>
      <c r="J98" s="43">
        <v>25.871</v>
      </c>
      <c r="K98" s="43">
        <v>0.998</v>
      </c>
      <c r="L98" s="43">
        <v>0.0</v>
      </c>
      <c r="M98" s="43">
        <v>0.0</v>
      </c>
      <c r="N98" s="43">
        <v>1.115</v>
      </c>
      <c r="O98" s="43">
        <v>6880.715</v>
      </c>
      <c r="P98" s="43">
        <v>24.221</v>
      </c>
      <c r="Q98" s="43">
        <v>0.592</v>
      </c>
      <c r="R98" s="43">
        <v>0.0</v>
      </c>
      <c r="S98" s="50">
        <v>0.0</v>
      </c>
      <c r="T98" s="123">
        <v>0.0</v>
      </c>
      <c r="U98" s="39">
        <v>17.2</v>
      </c>
      <c r="AK98" s="10" t="s">
        <v>60</v>
      </c>
    </row>
    <row r="99" ht="15.75" customHeight="1">
      <c r="B99" s="39" t="s">
        <v>176</v>
      </c>
      <c r="C99" s="39" t="s">
        <v>178</v>
      </c>
      <c r="D99" s="114">
        <v>0.0</v>
      </c>
      <c r="E99" s="64">
        <v>0.0</v>
      </c>
      <c r="F99" s="64">
        <v>1.0</v>
      </c>
      <c r="G99" s="64">
        <v>1.0</v>
      </c>
      <c r="H99" s="64">
        <v>0.0</v>
      </c>
      <c r="I99" s="64">
        <v>14.0</v>
      </c>
      <c r="J99" s="64">
        <v>48.0</v>
      </c>
      <c r="K99" s="112">
        <v>30.0</v>
      </c>
      <c r="L99" s="113">
        <v>0.0</v>
      </c>
      <c r="M99" s="61">
        <v>0.0</v>
      </c>
      <c r="N99" s="114">
        <v>1.0</v>
      </c>
      <c r="O99" s="64">
        <v>16000.0</v>
      </c>
      <c r="P99" s="64">
        <v>0.0</v>
      </c>
      <c r="Q99" s="64">
        <v>0.0</v>
      </c>
      <c r="R99" s="64">
        <v>0.0</v>
      </c>
      <c r="S99" s="58">
        <v>0.0</v>
      </c>
      <c r="T99" s="103">
        <v>0.0</v>
      </c>
      <c r="U99" s="39">
        <v>41.0</v>
      </c>
      <c r="AK99" s="10"/>
    </row>
    <row r="100" ht="15.75" customHeight="1">
      <c r="B100" s="39" t="s">
        <v>176</v>
      </c>
      <c r="C100" s="39" t="s">
        <v>179</v>
      </c>
      <c r="D100" s="50">
        <v>0.0</v>
      </c>
      <c r="E100" s="50">
        <v>0.0</v>
      </c>
      <c r="F100" s="50">
        <v>0.0</v>
      </c>
      <c r="G100" s="50">
        <v>0.0</v>
      </c>
      <c r="H100" s="50">
        <v>0.0</v>
      </c>
      <c r="I100" s="50">
        <v>0.0</v>
      </c>
      <c r="J100" s="50">
        <v>60.7</v>
      </c>
      <c r="K100" s="50">
        <v>2.2</v>
      </c>
      <c r="L100" s="123">
        <v>0.0</v>
      </c>
      <c r="M100" s="43">
        <v>0.0</v>
      </c>
      <c r="N100" s="56">
        <v>0.0</v>
      </c>
      <c r="O100" s="50">
        <v>45.0</v>
      </c>
      <c r="P100" s="50">
        <v>16.0</v>
      </c>
      <c r="Q100" s="50">
        <v>0.0</v>
      </c>
      <c r="R100" s="50">
        <v>0.0</v>
      </c>
      <c r="S100" s="50">
        <v>0.0</v>
      </c>
      <c r="T100" s="50">
        <v>0.0</v>
      </c>
      <c r="AK100" s="10"/>
    </row>
    <row r="101" ht="15.75" customHeight="1">
      <c r="B101" s="39" t="s">
        <v>176</v>
      </c>
      <c r="C101" s="39" t="s">
        <v>180</v>
      </c>
      <c r="D101" s="43">
        <v>0.0</v>
      </c>
      <c r="E101" s="43">
        <v>2.4</v>
      </c>
      <c r="F101" s="43">
        <v>1.39</v>
      </c>
      <c r="G101" s="43">
        <v>0.08</v>
      </c>
      <c r="H101" s="43">
        <v>0.0</v>
      </c>
      <c r="I101" s="43">
        <v>4.51</v>
      </c>
      <c r="J101" s="43">
        <v>46.44</v>
      </c>
      <c r="K101" s="43">
        <v>10.18</v>
      </c>
      <c r="L101" s="43">
        <v>0.0</v>
      </c>
      <c r="M101" s="43">
        <v>19.67</v>
      </c>
      <c r="N101" s="43">
        <v>3.85</v>
      </c>
      <c r="O101" s="43">
        <v>14890.0</v>
      </c>
      <c r="P101" s="43">
        <v>0.0</v>
      </c>
      <c r="Q101" s="43">
        <v>0.0</v>
      </c>
      <c r="R101" s="43">
        <v>0.0</v>
      </c>
      <c r="S101" s="43">
        <v>0.0</v>
      </c>
      <c r="T101" s="43">
        <v>0.0</v>
      </c>
      <c r="U101" s="39">
        <v>37.25</v>
      </c>
      <c r="AK101" s="10"/>
    </row>
    <row r="102" ht="15.75" customHeight="1">
      <c r="B102" s="39" t="s">
        <v>176</v>
      </c>
      <c r="C102" s="39" t="s">
        <v>181</v>
      </c>
      <c r="D102" s="139">
        <v>2.0</v>
      </c>
      <c r="E102" s="140">
        <v>0.0</v>
      </c>
      <c r="F102" s="140">
        <v>0.0</v>
      </c>
      <c r="G102" s="140">
        <v>0.0</v>
      </c>
      <c r="H102" s="140">
        <v>0.0</v>
      </c>
      <c r="I102" s="140">
        <v>0.0</v>
      </c>
      <c r="J102" s="140">
        <v>98.0</v>
      </c>
      <c r="K102" s="140">
        <v>0.0</v>
      </c>
      <c r="L102" s="141">
        <v>0.0</v>
      </c>
      <c r="M102" s="142">
        <v>0.0</v>
      </c>
      <c r="N102" s="143">
        <v>0.0</v>
      </c>
      <c r="O102" s="140">
        <v>0.0</v>
      </c>
      <c r="P102" s="140">
        <v>0.0</v>
      </c>
      <c r="Q102" s="140">
        <v>0.0</v>
      </c>
      <c r="R102" s="140">
        <v>0.0</v>
      </c>
      <c r="S102" s="140">
        <v>0.0</v>
      </c>
      <c r="T102" s="140">
        <v>0.0</v>
      </c>
      <c r="AK102" s="10"/>
    </row>
    <row r="103" ht="15.75" customHeight="1">
      <c r="B103" s="39" t="s">
        <v>176</v>
      </c>
      <c r="C103" s="39" t="s">
        <v>182</v>
      </c>
      <c r="D103" s="132">
        <f>100-(I103+E103+J103+N103)</f>
        <v>56.24</v>
      </c>
      <c r="E103" s="50">
        <v>3.78</v>
      </c>
      <c r="F103" s="50">
        <v>1.08</v>
      </c>
      <c r="G103" s="50">
        <v>0.06</v>
      </c>
      <c r="H103" s="50">
        <v>0.0</v>
      </c>
      <c r="I103" s="50">
        <v>3.52</v>
      </c>
      <c r="J103" s="50">
        <v>32.13</v>
      </c>
      <c r="K103" s="50">
        <v>8.49</v>
      </c>
      <c r="L103" s="123">
        <v>0.0</v>
      </c>
      <c r="M103" s="43">
        <v>19.11</v>
      </c>
      <c r="N103" s="56">
        <v>4.33</v>
      </c>
      <c r="O103" s="50">
        <v>16070.0</v>
      </c>
      <c r="P103" s="50">
        <v>0.0</v>
      </c>
      <c r="Q103" s="50">
        <v>0.0</v>
      </c>
      <c r="R103" s="50">
        <v>0.0</v>
      </c>
      <c r="S103" s="58">
        <v>0.0</v>
      </c>
      <c r="T103" s="58">
        <v>0.0</v>
      </c>
      <c r="U103" s="39">
        <v>40.19</v>
      </c>
      <c r="AK103" s="10"/>
    </row>
    <row r="104" ht="15.75" customHeight="1">
      <c r="B104" s="39" t="s">
        <v>176</v>
      </c>
      <c r="C104" s="39" t="s">
        <v>183</v>
      </c>
      <c r="D104" s="134">
        <f>100-(E104)</f>
        <v>2.13</v>
      </c>
      <c r="E104" s="43">
        <v>97.87</v>
      </c>
      <c r="F104" s="43">
        <v>16.22</v>
      </c>
      <c r="G104" s="43">
        <v>0.98</v>
      </c>
      <c r="H104" s="43">
        <v>0.0</v>
      </c>
      <c r="I104" s="43">
        <v>0.0</v>
      </c>
      <c r="J104" s="43">
        <v>0.0</v>
      </c>
      <c r="K104" s="43">
        <v>0.0</v>
      </c>
      <c r="L104" s="43">
        <v>0.0</v>
      </c>
      <c r="M104" s="43">
        <v>0.0</v>
      </c>
      <c r="N104" s="43">
        <v>0.0</v>
      </c>
      <c r="O104" s="43">
        <v>0.0</v>
      </c>
      <c r="P104" s="43">
        <v>0.0</v>
      </c>
      <c r="Q104" s="43">
        <v>0.0</v>
      </c>
      <c r="R104" s="43">
        <v>0.0</v>
      </c>
      <c r="S104" s="61">
        <v>0.0</v>
      </c>
      <c r="T104" s="61">
        <v>0.0</v>
      </c>
      <c r="AK104" s="10"/>
    </row>
    <row r="105" ht="15.75" customHeight="1">
      <c r="B105" s="39" t="s">
        <v>176</v>
      </c>
      <c r="C105" s="39" t="s">
        <v>184</v>
      </c>
      <c r="D105" s="64">
        <f>100-(I105+J105+E105)</f>
        <v>40.3</v>
      </c>
      <c r="E105" s="64">
        <v>2.8</v>
      </c>
      <c r="F105" s="64">
        <v>0.2</v>
      </c>
      <c r="G105" s="64">
        <v>0.0</v>
      </c>
      <c r="H105" s="64">
        <v>0.0</v>
      </c>
      <c r="I105" s="64">
        <v>10.2</v>
      </c>
      <c r="J105" s="64">
        <v>46.7</v>
      </c>
      <c r="K105" s="112">
        <v>3.1</v>
      </c>
      <c r="L105" s="113">
        <v>0.0</v>
      </c>
      <c r="M105" s="61">
        <v>0.0</v>
      </c>
      <c r="N105" s="114">
        <v>0.4</v>
      </c>
      <c r="O105" s="64">
        <v>7837.3</v>
      </c>
      <c r="P105" s="64">
        <v>1957.4</v>
      </c>
      <c r="Q105" s="64">
        <v>4.3</v>
      </c>
      <c r="R105" s="64">
        <v>0.0</v>
      </c>
      <c r="S105" s="58">
        <v>0.0</v>
      </c>
      <c r="T105" s="58">
        <v>0.0</v>
      </c>
      <c r="U105" s="129">
        <v>17.6</v>
      </c>
      <c r="Y105" s="39">
        <v>2.16</v>
      </c>
      <c r="Z105" s="39">
        <v>0.0056</v>
      </c>
      <c r="AB105" s="39">
        <v>1.8</v>
      </c>
      <c r="AJ105" s="39">
        <v>72.8</v>
      </c>
      <c r="AK105" s="10"/>
    </row>
    <row r="106" ht="15.75" customHeight="1">
      <c r="B106" s="39" t="s">
        <v>176</v>
      </c>
      <c r="C106" s="39" t="s">
        <v>185</v>
      </c>
      <c r="D106" s="112">
        <v>0.0</v>
      </c>
      <c r="E106" s="112">
        <v>0.0</v>
      </c>
      <c r="F106" s="112">
        <v>0.0</v>
      </c>
      <c r="G106" s="112">
        <v>0.0</v>
      </c>
      <c r="H106" s="112">
        <v>0.0</v>
      </c>
      <c r="I106" s="112">
        <v>7.5</v>
      </c>
      <c r="J106" s="112">
        <v>31.0</v>
      </c>
      <c r="K106" s="112">
        <v>2.4</v>
      </c>
      <c r="L106" s="121">
        <v>1.1</v>
      </c>
      <c r="M106" s="43">
        <v>0.0</v>
      </c>
      <c r="N106" s="122">
        <v>2.0</v>
      </c>
      <c r="O106" s="112">
        <v>20522.0</v>
      </c>
      <c r="P106" s="112">
        <v>71.0</v>
      </c>
      <c r="Q106" s="112">
        <v>1.3</v>
      </c>
      <c r="R106" s="112">
        <v>0.33</v>
      </c>
      <c r="S106" s="50">
        <v>4.5</v>
      </c>
      <c r="T106" s="50">
        <v>0.0</v>
      </c>
      <c r="U106" s="129">
        <v>43.03</v>
      </c>
      <c r="W106" s="118">
        <v>9.3</v>
      </c>
      <c r="X106" s="118">
        <v>2352.0</v>
      </c>
      <c r="Y106" s="39">
        <v>1.28</v>
      </c>
      <c r="AJ106" s="39">
        <v>13.4</v>
      </c>
      <c r="AK106" s="10"/>
    </row>
    <row r="107" ht="15.75" customHeight="1">
      <c r="B107" s="39" t="s">
        <v>176</v>
      </c>
      <c r="C107" s="39" t="s">
        <v>186</v>
      </c>
      <c r="D107" s="43">
        <v>0.0</v>
      </c>
      <c r="E107" s="43">
        <v>99.0</v>
      </c>
      <c r="F107" s="43">
        <v>13.86</v>
      </c>
      <c r="G107" s="43">
        <v>0.49</v>
      </c>
      <c r="H107" s="43">
        <v>0.0</v>
      </c>
      <c r="I107" s="43">
        <v>0.0</v>
      </c>
      <c r="J107" s="43">
        <v>0.0</v>
      </c>
      <c r="K107" s="43">
        <v>0.0</v>
      </c>
      <c r="L107" s="43">
        <v>0.0</v>
      </c>
      <c r="M107" s="43">
        <v>0.0</v>
      </c>
      <c r="N107" s="43">
        <v>0.0</v>
      </c>
      <c r="O107" s="43">
        <v>0.0</v>
      </c>
      <c r="P107" s="43">
        <v>0.0</v>
      </c>
      <c r="Q107" s="43">
        <v>0.0</v>
      </c>
      <c r="R107" s="43">
        <v>0.0</v>
      </c>
      <c r="S107" s="50">
        <v>0.0</v>
      </c>
      <c r="T107" s="123">
        <v>0.0</v>
      </c>
      <c r="U107" s="129"/>
      <c r="W107" s="118"/>
      <c r="AK107" s="10"/>
    </row>
    <row r="108" ht="15.75" customHeight="1">
      <c r="B108" s="39" t="s">
        <v>176</v>
      </c>
      <c r="C108" s="39" t="s">
        <v>187</v>
      </c>
      <c r="D108" s="43">
        <f>100-E108</f>
        <v>2.02</v>
      </c>
      <c r="E108" s="43">
        <v>97.98</v>
      </c>
      <c r="F108" s="43">
        <v>16.24</v>
      </c>
      <c r="G108" s="43">
        <v>1.02</v>
      </c>
      <c r="H108" s="43">
        <v>0.0</v>
      </c>
      <c r="I108" s="43">
        <v>0.0</v>
      </c>
      <c r="J108" s="43">
        <v>0.0</v>
      </c>
      <c r="K108" s="43">
        <v>0.0</v>
      </c>
      <c r="L108" s="43">
        <v>0.0</v>
      </c>
      <c r="M108" s="43">
        <v>0.0</v>
      </c>
      <c r="N108" s="43">
        <v>0.0</v>
      </c>
      <c r="O108" s="43">
        <v>0.0</v>
      </c>
      <c r="P108" s="43">
        <v>0.0</v>
      </c>
      <c r="Q108" s="43">
        <v>0.0</v>
      </c>
      <c r="R108" s="43">
        <v>0.0</v>
      </c>
      <c r="S108" s="50">
        <v>0.0</v>
      </c>
      <c r="T108" s="123">
        <v>0.0</v>
      </c>
      <c r="U108" s="129"/>
      <c r="W108" s="118"/>
      <c r="AK108" s="10" t="s">
        <v>60</v>
      </c>
    </row>
    <row r="109" ht="15.75" customHeight="1">
      <c r="B109" s="39" t="s">
        <v>176</v>
      </c>
      <c r="C109" s="39" t="s">
        <v>188</v>
      </c>
      <c r="D109" s="43">
        <v>44.56</v>
      </c>
      <c r="E109" s="43">
        <v>2.17</v>
      </c>
      <c r="F109" s="43">
        <v>1.7</v>
      </c>
      <c r="G109" s="43">
        <v>0.0</v>
      </c>
      <c r="H109" s="43">
        <v>0.0</v>
      </c>
      <c r="I109" s="43">
        <v>3.3</v>
      </c>
      <c r="J109" s="43">
        <v>47.73</v>
      </c>
      <c r="K109" s="43">
        <v>8.02</v>
      </c>
      <c r="L109" s="43">
        <v>0.0</v>
      </c>
      <c r="M109" s="43">
        <v>35.15</v>
      </c>
      <c r="N109" s="43">
        <v>2.24</v>
      </c>
      <c r="O109" s="43">
        <v>14840.0</v>
      </c>
      <c r="P109" s="43">
        <v>0.0</v>
      </c>
      <c r="Q109" s="43">
        <v>0.0</v>
      </c>
      <c r="R109" s="43">
        <v>0.0</v>
      </c>
      <c r="S109" s="50">
        <v>0.0</v>
      </c>
      <c r="T109" s="123">
        <v>0.0</v>
      </c>
      <c r="U109" s="129">
        <v>37.13</v>
      </c>
      <c r="W109" s="118"/>
      <c r="AK109" s="10"/>
    </row>
    <row r="110" ht="15.75" customHeight="1">
      <c r="B110" s="39" t="s">
        <v>176</v>
      </c>
      <c r="C110" s="39" t="s">
        <v>189</v>
      </c>
      <c r="D110" s="43">
        <v>1.42</v>
      </c>
      <c r="E110" s="43">
        <v>98.54</v>
      </c>
      <c r="F110" s="43">
        <v>17.19</v>
      </c>
      <c r="G110" s="43">
        <v>0.96</v>
      </c>
      <c r="H110" s="43">
        <v>0.0</v>
      </c>
      <c r="I110" s="43">
        <v>0.0</v>
      </c>
      <c r="J110" s="43">
        <v>0.04</v>
      </c>
      <c r="K110" s="43">
        <v>0.01</v>
      </c>
      <c r="L110" s="43">
        <v>0.0</v>
      </c>
      <c r="M110" s="43">
        <v>0.0</v>
      </c>
      <c r="N110" s="43">
        <v>0.01</v>
      </c>
      <c r="O110" s="43">
        <v>0.0</v>
      </c>
      <c r="P110" s="43">
        <v>0.0</v>
      </c>
      <c r="Q110" s="43">
        <v>0.0</v>
      </c>
      <c r="R110" s="43">
        <v>0.0</v>
      </c>
      <c r="S110" s="50">
        <v>0.0</v>
      </c>
      <c r="T110" s="123">
        <v>0.0</v>
      </c>
      <c r="U110" s="129"/>
      <c r="W110" s="118"/>
      <c r="AK110" s="10"/>
    </row>
    <row r="111" ht="15.75" customHeight="1">
      <c r="B111" s="39" t="s">
        <v>176</v>
      </c>
      <c r="C111" s="39" t="s">
        <v>190</v>
      </c>
      <c r="D111" s="43">
        <v>0.67</v>
      </c>
      <c r="E111" s="43">
        <v>95.134</v>
      </c>
      <c r="F111" s="43">
        <v>15.338</v>
      </c>
      <c r="G111" s="43">
        <v>0.88</v>
      </c>
      <c r="H111" s="43">
        <v>0.578</v>
      </c>
      <c r="I111" s="43">
        <v>0.007</v>
      </c>
      <c r="J111" s="43">
        <v>4.191</v>
      </c>
      <c r="K111" s="43">
        <v>0.016</v>
      </c>
      <c r="L111" s="43">
        <v>0.0</v>
      </c>
      <c r="M111" s="43">
        <v>0.0</v>
      </c>
      <c r="N111" s="43">
        <v>0.001</v>
      </c>
      <c r="O111" s="43">
        <v>0.1</v>
      </c>
      <c r="P111" s="43">
        <v>0.192</v>
      </c>
      <c r="Q111" s="43">
        <v>0.048</v>
      </c>
      <c r="R111" s="43">
        <v>0.0</v>
      </c>
      <c r="S111" s="50">
        <v>0.47</v>
      </c>
      <c r="T111" s="123">
        <v>0.0</v>
      </c>
      <c r="U111" s="129"/>
      <c r="W111" s="118"/>
      <c r="AK111" s="10"/>
    </row>
    <row r="112" ht="15.75" customHeight="1">
      <c r="B112" s="39" t="s">
        <v>176</v>
      </c>
      <c r="C112" s="39" t="s">
        <v>191</v>
      </c>
      <c r="D112" s="43">
        <v>3.23</v>
      </c>
      <c r="E112" s="43">
        <v>3.09</v>
      </c>
      <c r="F112" s="43">
        <v>2.54</v>
      </c>
      <c r="G112" s="43">
        <v>0.06</v>
      </c>
      <c r="H112" s="43">
        <v>0.0</v>
      </c>
      <c r="I112" s="43">
        <v>1.5</v>
      </c>
      <c r="J112" s="43">
        <v>45.71</v>
      </c>
      <c r="K112" s="43">
        <v>3.37</v>
      </c>
      <c r="L112" s="43">
        <v>0.0</v>
      </c>
      <c r="M112" s="43">
        <v>38.81</v>
      </c>
      <c r="N112" s="43">
        <v>2.4</v>
      </c>
      <c r="O112" s="43">
        <v>15940.0</v>
      </c>
      <c r="P112" s="43">
        <v>0.0</v>
      </c>
      <c r="Q112" s="43">
        <v>0.0</v>
      </c>
      <c r="R112" s="43">
        <v>0.0</v>
      </c>
      <c r="S112" s="50">
        <v>0.0</v>
      </c>
      <c r="T112" s="123">
        <v>0.0</v>
      </c>
      <c r="U112" s="129">
        <v>39.86</v>
      </c>
      <c r="W112" s="118"/>
      <c r="AK112" s="10"/>
    </row>
    <row r="113" ht="15.75" customHeight="1">
      <c r="B113" s="39" t="s">
        <v>176</v>
      </c>
      <c r="C113" s="39" t="s">
        <v>192</v>
      </c>
      <c r="D113" s="43">
        <v>3.0</v>
      </c>
      <c r="E113" s="43">
        <v>4.8</v>
      </c>
      <c r="F113" s="43">
        <v>1.42</v>
      </c>
      <c r="G113" s="43">
        <v>0.08</v>
      </c>
      <c r="H113" s="43">
        <v>0.0</v>
      </c>
      <c r="I113" s="43">
        <v>5.96</v>
      </c>
      <c r="J113" s="43">
        <v>23.53</v>
      </c>
      <c r="K113" s="43">
        <v>10.47</v>
      </c>
      <c r="L113" s="43">
        <v>0.0</v>
      </c>
      <c r="M113" s="43">
        <v>2.11</v>
      </c>
      <c r="N113" s="43">
        <v>7.71</v>
      </c>
      <c r="O113" s="43">
        <v>18940.0</v>
      </c>
      <c r="P113" s="43">
        <v>0.0</v>
      </c>
      <c r="Q113" s="43">
        <v>0.0</v>
      </c>
      <c r="R113" s="43">
        <v>0.0</v>
      </c>
      <c r="S113" s="50">
        <v>0.0</v>
      </c>
      <c r="T113" s="123">
        <v>0.0</v>
      </c>
      <c r="U113" s="129">
        <v>47.37</v>
      </c>
      <c r="W113" s="118"/>
      <c r="AK113" s="10"/>
    </row>
    <row r="114" ht="15.75" customHeight="1">
      <c r="B114" s="39" t="s">
        <v>176</v>
      </c>
      <c r="C114" s="39" t="s">
        <v>193</v>
      </c>
      <c r="D114" s="43">
        <v>2.08</v>
      </c>
      <c r="E114" s="43">
        <v>97.92</v>
      </c>
      <c r="F114" s="43">
        <v>16.1</v>
      </c>
      <c r="G114" s="43">
        <v>1.0</v>
      </c>
      <c r="H114" s="43">
        <v>0.0</v>
      </c>
      <c r="I114" s="43">
        <v>0.0</v>
      </c>
      <c r="J114" s="43">
        <v>0.0</v>
      </c>
      <c r="K114" s="43">
        <v>0.0</v>
      </c>
      <c r="L114" s="43">
        <v>0.0</v>
      </c>
      <c r="M114" s="43">
        <v>0.0</v>
      </c>
      <c r="N114" s="43">
        <v>0.0</v>
      </c>
      <c r="O114" s="43">
        <v>0.0</v>
      </c>
      <c r="P114" s="43">
        <v>0.0</v>
      </c>
      <c r="Q114" s="43">
        <v>0.0</v>
      </c>
      <c r="R114" s="43">
        <v>0.0</v>
      </c>
      <c r="S114" s="50">
        <v>0.0</v>
      </c>
      <c r="T114" s="123">
        <v>0.0</v>
      </c>
      <c r="U114" s="129"/>
      <c r="W114" s="118"/>
      <c r="AK114" s="10"/>
    </row>
    <row r="115" ht="15.75" customHeight="1">
      <c r="B115" s="39" t="s">
        <v>176</v>
      </c>
      <c r="C115" s="39" t="s">
        <v>194</v>
      </c>
      <c r="D115" s="43">
        <v>20.0</v>
      </c>
      <c r="E115" s="43">
        <v>3.2</v>
      </c>
      <c r="F115" s="43">
        <v>0.7</v>
      </c>
      <c r="G115" s="43">
        <v>0.0</v>
      </c>
      <c r="H115" s="43">
        <v>0.0</v>
      </c>
      <c r="I115" s="43">
        <v>10.0</v>
      </c>
      <c r="J115" s="43">
        <v>39.0</v>
      </c>
      <c r="K115" s="43">
        <v>1.2</v>
      </c>
      <c r="L115" s="43">
        <v>0.0</v>
      </c>
      <c r="M115" s="43">
        <v>0.0</v>
      </c>
      <c r="N115" s="43">
        <v>2.7</v>
      </c>
      <c r="O115" s="43">
        <v>10700.0</v>
      </c>
      <c r="P115" s="43">
        <v>566.0</v>
      </c>
      <c r="Q115" s="43">
        <v>7.4</v>
      </c>
      <c r="R115" s="43">
        <v>1.0</v>
      </c>
      <c r="S115" s="50">
        <v>22.0</v>
      </c>
      <c r="T115" s="123">
        <v>0.0</v>
      </c>
      <c r="U115" s="129">
        <v>24.1</v>
      </c>
      <c r="W115" s="118"/>
      <c r="Y115" s="39">
        <v>2.1</v>
      </c>
      <c r="Z115" s="39">
        <v>0.0055</v>
      </c>
      <c r="AB115" s="39">
        <v>1.76</v>
      </c>
      <c r="AE115" s="39">
        <v>6.7</v>
      </c>
      <c r="AK115" s="10" t="s">
        <v>60</v>
      </c>
    </row>
    <row r="116" ht="15.75" customHeight="1">
      <c r="B116" s="39" t="s">
        <v>176</v>
      </c>
      <c r="C116" s="39" t="s">
        <v>195</v>
      </c>
      <c r="D116" s="43">
        <v>3.9</v>
      </c>
      <c r="E116" s="43">
        <v>95.5</v>
      </c>
      <c r="F116" s="43">
        <v>15.3</v>
      </c>
      <c r="G116" s="43">
        <v>8.1</v>
      </c>
      <c r="H116" s="43">
        <v>0.0</v>
      </c>
      <c r="I116" s="43">
        <v>0.1</v>
      </c>
      <c r="J116" s="43">
        <v>0.5</v>
      </c>
      <c r="K116" s="43">
        <v>0.1</v>
      </c>
      <c r="L116" s="43">
        <v>0.0</v>
      </c>
      <c r="M116" s="43">
        <v>0.0</v>
      </c>
      <c r="N116" s="43">
        <v>0.1</v>
      </c>
      <c r="O116" s="43">
        <v>5.0</v>
      </c>
      <c r="P116" s="43">
        <v>1.0</v>
      </c>
      <c r="Q116" s="43">
        <v>1.0</v>
      </c>
      <c r="R116" s="43">
        <v>0.0</v>
      </c>
      <c r="S116" s="50">
        <v>0.15</v>
      </c>
      <c r="T116" s="123">
        <v>0.0</v>
      </c>
      <c r="U116" s="129"/>
      <c r="W116" s="118"/>
      <c r="AK116" s="10"/>
    </row>
    <row r="117" ht="15.75" customHeight="1">
      <c r="B117" s="39" t="s">
        <v>176</v>
      </c>
      <c r="C117" s="39" t="s">
        <v>196</v>
      </c>
      <c r="D117" s="43">
        <f>100-(E117+I117+J117+U117+W117+Y117)</f>
        <v>6.58</v>
      </c>
      <c r="E117" s="43">
        <v>1.1</v>
      </c>
      <c r="F117" s="43">
        <v>0.13</v>
      </c>
      <c r="G117" s="43">
        <v>0.0</v>
      </c>
      <c r="H117" s="43">
        <v>0.0</v>
      </c>
      <c r="I117" s="43">
        <v>5.9</v>
      </c>
      <c r="J117" s="43">
        <v>33.0</v>
      </c>
      <c r="K117" s="43">
        <v>14.0</v>
      </c>
      <c r="L117" s="43">
        <v>11.0</v>
      </c>
      <c r="M117" s="43">
        <v>0.0</v>
      </c>
      <c r="N117" s="43">
        <v>1.5</v>
      </c>
      <c r="O117" s="43">
        <v>18558.0</v>
      </c>
      <c r="P117" s="43">
        <v>350.0</v>
      </c>
      <c r="Q117" s="43">
        <v>0.7</v>
      </c>
      <c r="R117" s="43">
        <v>0.28</v>
      </c>
      <c r="S117" s="50">
        <v>0.0</v>
      </c>
      <c r="T117" s="123">
        <v>0.0</v>
      </c>
      <c r="U117" s="129">
        <v>29.92</v>
      </c>
      <c r="W117" s="118">
        <v>20.0</v>
      </c>
      <c r="X117" s="118">
        <v>5000.0</v>
      </c>
      <c r="Y117" s="39">
        <v>3.5</v>
      </c>
      <c r="AJ117" s="39">
        <v>29.4</v>
      </c>
      <c r="AK117" s="10"/>
    </row>
    <row r="118" ht="15.75" customHeight="1">
      <c r="B118" s="39" t="s">
        <v>176</v>
      </c>
      <c r="C118" s="39" t="s">
        <v>197</v>
      </c>
      <c r="D118" s="43">
        <v>0.0</v>
      </c>
      <c r="E118" s="43">
        <v>0.0</v>
      </c>
      <c r="F118" s="43">
        <v>0.0</v>
      </c>
      <c r="G118" s="43">
        <v>0.0</v>
      </c>
      <c r="H118" s="43">
        <v>0.0</v>
      </c>
      <c r="I118" s="43">
        <v>0.0</v>
      </c>
      <c r="J118" s="43">
        <v>0.0</v>
      </c>
      <c r="K118" s="43">
        <v>0.0</v>
      </c>
      <c r="L118" s="43">
        <v>0.0</v>
      </c>
      <c r="M118" s="43">
        <v>0.0</v>
      </c>
      <c r="N118" s="43">
        <v>0.0</v>
      </c>
      <c r="O118" s="43">
        <v>0.0</v>
      </c>
      <c r="P118" s="43">
        <v>0.0</v>
      </c>
      <c r="Q118" s="43">
        <v>0.0</v>
      </c>
      <c r="R118" s="43">
        <v>0.0</v>
      </c>
      <c r="S118" s="50">
        <v>0.0</v>
      </c>
      <c r="T118" s="123">
        <v>0.0</v>
      </c>
      <c r="U118" s="129"/>
      <c r="W118" s="118"/>
      <c r="X118" s="118"/>
      <c r="AK118" s="10"/>
    </row>
    <row r="119" ht="15.75" customHeight="1">
      <c r="B119" s="39" t="s">
        <v>176</v>
      </c>
      <c r="C119" s="39" t="s">
        <v>198</v>
      </c>
      <c r="D119" s="43">
        <v>7.77</v>
      </c>
      <c r="E119" s="43">
        <v>0.08</v>
      </c>
      <c r="F119" s="43">
        <v>0.08</v>
      </c>
      <c r="G119" s="43">
        <v>0.0</v>
      </c>
      <c r="H119" s="43">
        <v>0.0</v>
      </c>
      <c r="I119" s="43">
        <v>0.01</v>
      </c>
      <c r="J119" s="43">
        <v>41.08</v>
      </c>
      <c r="K119" s="43">
        <v>0.62</v>
      </c>
      <c r="L119" s="43">
        <v>0.0</v>
      </c>
      <c r="M119" s="43">
        <v>40.45</v>
      </c>
      <c r="N119" s="43">
        <v>0.35</v>
      </c>
      <c r="O119" s="43">
        <v>19840.0</v>
      </c>
      <c r="P119" s="43">
        <v>0.0</v>
      </c>
      <c r="Q119" s="43">
        <v>0.0</v>
      </c>
      <c r="R119" s="43">
        <v>0.0</v>
      </c>
      <c r="S119" s="50">
        <v>0.0</v>
      </c>
      <c r="T119" s="123">
        <v>0.0</v>
      </c>
      <c r="U119" s="129">
        <v>49.63</v>
      </c>
      <c r="W119" s="118"/>
      <c r="X119" s="118"/>
      <c r="AK119" s="10"/>
    </row>
    <row r="120" ht="15.75" customHeight="1">
      <c r="B120" s="39" t="s">
        <v>176</v>
      </c>
      <c r="C120" s="39" t="s">
        <v>199</v>
      </c>
      <c r="D120" s="53">
        <v>41.53</v>
      </c>
      <c r="E120" s="53">
        <v>4.924</v>
      </c>
      <c r="F120" s="53">
        <v>0.4146</v>
      </c>
      <c r="G120" s="53">
        <v>0.009305</v>
      </c>
      <c r="H120" s="53">
        <v>0.0562</v>
      </c>
      <c r="I120" s="53">
        <v>8.5604</v>
      </c>
      <c r="J120" s="53">
        <v>44.9624</v>
      </c>
      <c r="K120" s="53">
        <v>17.5917</v>
      </c>
      <c r="L120" s="53">
        <v>6.2502</v>
      </c>
      <c r="M120" s="53">
        <v>0.0</v>
      </c>
      <c r="N120" s="53">
        <v>7.7431</v>
      </c>
      <c r="O120" s="53">
        <v>12250.353</v>
      </c>
      <c r="P120" s="53">
        <v>215.7405</v>
      </c>
      <c r="Q120" s="53">
        <v>10.0157</v>
      </c>
      <c r="R120" s="53">
        <v>1.3738</v>
      </c>
      <c r="S120" s="49">
        <v>564.394</v>
      </c>
      <c r="T120" s="144">
        <v>0.092</v>
      </c>
      <c r="U120" s="129">
        <v>31.5</v>
      </c>
      <c r="W120" s="118"/>
      <c r="X120" s="118"/>
      <c r="AK120" s="10" t="s">
        <v>200</v>
      </c>
    </row>
    <row r="121" ht="15.75" customHeight="1">
      <c r="B121" s="39" t="s">
        <v>176</v>
      </c>
      <c r="C121" s="39" t="s">
        <v>201</v>
      </c>
      <c r="D121" s="98">
        <v>0.831</v>
      </c>
      <c r="E121" s="98">
        <v>99.1655</v>
      </c>
      <c r="F121" s="98">
        <v>16.9028</v>
      </c>
      <c r="G121" s="98">
        <v>0.5324539</v>
      </c>
      <c r="H121" s="98">
        <v>0.2858</v>
      </c>
      <c r="I121" s="98">
        <v>0.001</v>
      </c>
      <c r="J121" s="98">
        <v>0.0017</v>
      </c>
      <c r="K121" s="98">
        <v>0.0</v>
      </c>
      <c r="L121" s="98">
        <v>0.0</v>
      </c>
      <c r="M121" s="98">
        <v>0.0</v>
      </c>
      <c r="N121" s="98">
        <v>0.0</v>
      </c>
      <c r="O121" s="98">
        <v>0.5278</v>
      </c>
      <c r="P121" s="98">
        <v>0.0024</v>
      </c>
      <c r="Q121" s="98">
        <v>0.0012</v>
      </c>
      <c r="R121" s="98">
        <v>0.0</v>
      </c>
      <c r="S121" s="145">
        <v>0.6488</v>
      </c>
      <c r="T121" s="144">
        <v>0.0</v>
      </c>
      <c r="U121" s="129"/>
      <c r="W121" s="118"/>
      <c r="X121" s="118"/>
      <c r="AK121" s="10"/>
    </row>
    <row r="122" ht="15.75" customHeight="1">
      <c r="B122" s="39" t="s">
        <v>176</v>
      </c>
      <c r="C122" s="39" t="s">
        <v>202</v>
      </c>
      <c r="D122" s="98">
        <v>12.9</v>
      </c>
      <c r="E122" s="98">
        <v>0.8</v>
      </c>
      <c r="F122" s="98">
        <v>0.0</v>
      </c>
      <c r="G122" s="98">
        <v>0.0</v>
      </c>
      <c r="H122" s="98">
        <v>0.0</v>
      </c>
      <c r="I122" s="98">
        <v>9.9</v>
      </c>
      <c r="J122" s="98">
        <v>45.0</v>
      </c>
      <c r="K122" s="98">
        <v>1.7</v>
      </c>
      <c r="L122" s="98">
        <v>1.7</v>
      </c>
      <c r="M122" s="98">
        <v>0.0</v>
      </c>
      <c r="N122" s="98">
        <v>2.9</v>
      </c>
      <c r="O122" s="99">
        <v>11700.0</v>
      </c>
      <c r="P122" s="98">
        <v>94.0</v>
      </c>
      <c r="Q122" s="98">
        <v>2.4</v>
      </c>
      <c r="R122" s="98">
        <v>1.7</v>
      </c>
      <c r="S122" s="145">
        <v>7.1</v>
      </c>
      <c r="T122" s="144">
        <v>0.12</v>
      </c>
      <c r="U122" s="129">
        <v>17.7</v>
      </c>
      <c r="W122" s="118">
        <v>13.7</v>
      </c>
      <c r="X122" s="118">
        <v>5973.0</v>
      </c>
      <c r="AJ122" s="39">
        <v>15.48</v>
      </c>
      <c r="AK122" s="10" t="s">
        <v>167</v>
      </c>
    </row>
    <row r="123" ht="15.75" customHeight="1">
      <c r="B123" s="39" t="s">
        <v>176</v>
      </c>
      <c r="C123" s="39" t="s">
        <v>203</v>
      </c>
      <c r="D123" s="43">
        <v>4.5</v>
      </c>
      <c r="E123" s="43">
        <v>18.0</v>
      </c>
      <c r="F123" s="43">
        <v>1.78</v>
      </c>
      <c r="G123" s="43">
        <v>0.0</v>
      </c>
      <c r="H123" s="43">
        <v>0.0</v>
      </c>
      <c r="I123" s="43">
        <v>0.0</v>
      </c>
      <c r="J123" s="43">
        <v>72.0</v>
      </c>
      <c r="K123" s="43">
        <v>2.0</v>
      </c>
      <c r="L123" s="43">
        <v>0.0</v>
      </c>
      <c r="M123" s="43">
        <v>10.0</v>
      </c>
      <c r="N123" s="43">
        <v>0.0</v>
      </c>
      <c r="O123" s="43">
        <v>45.0</v>
      </c>
      <c r="P123" s="43">
        <v>8.35</v>
      </c>
      <c r="Q123" s="43">
        <v>0.0</v>
      </c>
      <c r="R123" s="43">
        <v>0.0</v>
      </c>
      <c r="S123" s="50">
        <v>0.0</v>
      </c>
      <c r="T123" s="123">
        <v>0.0</v>
      </c>
      <c r="U123" s="129"/>
      <c r="W123" s="118"/>
      <c r="X123" s="118">
        <v>4.18</v>
      </c>
      <c r="AK123" s="10"/>
    </row>
    <row r="124" ht="15.75" customHeight="1">
      <c r="B124" s="39" t="s">
        <v>176</v>
      </c>
      <c r="C124" s="39" t="s">
        <v>204</v>
      </c>
      <c r="D124" s="43">
        <v>6.0</v>
      </c>
      <c r="E124" s="43">
        <v>0.0</v>
      </c>
      <c r="F124" s="43">
        <v>0.0</v>
      </c>
      <c r="G124" s="43">
        <v>0.0</v>
      </c>
      <c r="H124" s="43">
        <v>0.0</v>
      </c>
      <c r="I124" s="43">
        <v>0.0</v>
      </c>
      <c r="J124" s="43">
        <v>69.0</v>
      </c>
      <c r="K124" s="43">
        <v>3.0</v>
      </c>
      <c r="L124" s="43">
        <v>0.0</v>
      </c>
      <c r="M124" s="43">
        <v>0.0</v>
      </c>
      <c r="N124" s="43">
        <v>0.0</v>
      </c>
      <c r="O124" s="43">
        <v>65.0</v>
      </c>
      <c r="P124" s="43">
        <v>11.6</v>
      </c>
      <c r="Q124" s="43">
        <v>0.0</v>
      </c>
      <c r="R124" s="43">
        <v>0.0</v>
      </c>
      <c r="S124" s="50">
        <v>0.0</v>
      </c>
      <c r="T124" s="123">
        <v>0.0</v>
      </c>
      <c r="U124" s="129"/>
      <c r="W124" s="118"/>
      <c r="X124" s="118">
        <v>5.8</v>
      </c>
      <c r="AK124" s="10"/>
    </row>
    <row r="125" ht="15.75" customHeight="1">
      <c r="B125" s="39" t="s">
        <v>176</v>
      </c>
      <c r="C125" s="39" t="s">
        <v>205</v>
      </c>
      <c r="D125" s="43">
        <v>13.38</v>
      </c>
      <c r="E125" s="43">
        <v>1.39</v>
      </c>
      <c r="F125" s="43">
        <v>1.32</v>
      </c>
      <c r="G125" s="43">
        <v>0.0</v>
      </c>
      <c r="H125" s="43">
        <v>0.0</v>
      </c>
      <c r="I125" s="43">
        <v>3.74</v>
      </c>
      <c r="J125" s="43">
        <v>37.64</v>
      </c>
      <c r="K125" s="43">
        <v>6.42</v>
      </c>
      <c r="L125" s="43">
        <v>0.0</v>
      </c>
      <c r="M125" s="43">
        <v>0.0</v>
      </c>
      <c r="N125" s="43">
        <v>4.88</v>
      </c>
      <c r="O125" s="43">
        <v>17530.0</v>
      </c>
      <c r="P125" s="43">
        <v>0.0</v>
      </c>
      <c r="Q125" s="43">
        <v>0.0</v>
      </c>
      <c r="R125" s="43">
        <v>0.0</v>
      </c>
      <c r="S125" s="50">
        <v>0.0</v>
      </c>
      <c r="T125" s="123">
        <v>0.0</v>
      </c>
      <c r="U125" s="129">
        <v>43.85</v>
      </c>
      <c r="W125" s="118"/>
      <c r="X125" s="118"/>
      <c r="AK125" s="10"/>
    </row>
    <row r="126" ht="15.75" customHeight="1">
      <c r="B126" s="39" t="s">
        <v>176</v>
      </c>
      <c r="C126" s="39" t="s">
        <v>206</v>
      </c>
      <c r="D126" s="43">
        <v>3.0</v>
      </c>
      <c r="E126" s="43">
        <v>25.0</v>
      </c>
      <c r="F126" s="43">
        <v>1.9</v>
      </c>
      <c r="G126" s="43">
        <v>0.0</v>
      </c>
      <c r="H126" s="43">
        <v>0.0</v>
      </c>
      <c r="I126" s="43">
        <v>0.0</v>
      </c>
      <c r="J126" s="43">
        <v>0.0</v>
      </c>
      <c r="K126" s="43">
        <v>0.0</v>
      </c>
      <c r="L126" s="43">
        <v>0.0</v>
      </c>
      <c r="M126" s="43">
        <v>0.0</v>
      </c>
      <c r="N126" s="43">
        <v>0.0</v>
      </c>
      <c r="O126" s="43">
        <v>0.0</v>
      </c>
      <c r="P126" s="43">
        <v>0.0</v>
      </c>
      <c r="Q126" s="43">
        <v>0.0</v>
      </c>
      <c r="R126" s="43">
        <v>0.0</v>
      </c>
      <c r="S126" s="50">
        <v>0.0</v>
      </c>
      <c r="T126" s="123">
        <v>0.0</v>
      </c>
      <c r="U126" s="129"/>
      <c r="W126" s="118"/>
      <c r="X126" s="118"/>
      <c r="AK126" s="10"/>
    </row>
    <row r="127" ht="15.75" customHeight="1">
      <c r="D127" s="43"/>
      <c r="E127" s="43"/>
      <c r="F127" s="43"/>
      <c r="G127" s="43"/>
      <c r="H127" s="43"/>
      <c r="I127" s="43"/>
      <c r="J127" s="43"/>
      <c r="K127" s="43"/>
      <c r="L127" s="43"/>
      <c r="M127" s="43"/>
      <c r="N127" s="43"/>
      <c r="O127" s="43"/>
      <c r="P127" s="43"/>
      <c r="Q127" s="43"/>
      <c r="R127" s="43"/>
      <c r="S127" s="50"/>
      <c r="T127" s="123"/>
      <c r="U127" s="129"/>
      <c r="W127" s="118"/>
      <c r="X127" s="118"/>
      <c r="AK127" s="10"/>
    </row>
    <row r="128" ht="15.75" customHeight="1">
      <c r="B128" s="39" t="s">
        <v>207</v>
      </c>
      <c r="C128" s="39" t="s">
        <v>208</v>
      </c>
      <c r="D128" s="43">
        <v>0.0</v>
      </c>
      <c r="E128" s="43">
        <v>0.0</v>
      </c>
      <c r="F128" s="43">
        <v>0.0</v>
      </c>
      <c r="G128" s="43">
        <v>0.0</v>
      </c>
      <c r="H128" s="43">
        <v>0.0</v>
      </c>
      <c r="I128" s="43">
        <v>1.4</v>
      </c>
      <c r="J128" s="43">
        <v>7.8</v>
      </c>
      <c r="K128" s="43">
        <v>0.0</v>
      </c>
      <c r="L128" s="43">
        <v>0.0</v>
      </c>
      <c r="M128" s="43">
        <v>0.0</v>
      </c>
      <c r="N128" s="43">
        <v>0.0</v>
      </c>
      <c r="O128" s="43">
        <v>0.0</v>
      </c>
      <c r="P128" s="43">
        <v>0.0</v>
      </c>
      <c r="Q128" s="43">
        <v>0.0</v>
      </c>
      <c r="R128" s="43">
        <v>0.0</v>
      </c>
      <c r="S128" s="50">
        <v>0.0</v>
      </c>
      <c r="T128" s="123">
        <v>0.0</v>
      </c>
      <c r="AA128" s="39">
        <v>0.11</v>
      </c>
      <c r="AK128" s="10"/>
    </row>
    <row r="129" ht="15.75" customHeight="1">
      <c r="B129" s="39" t="s">
        <v>207</v>
      </c>
      <c r="C129" s="39" t="s">
        <v>209</v>
      </c>
      <c r="D129" s="64">
        <v>43.0</v>
      </c>
      <c r="E129" s="64">
        <v>0.08</v>
      </c>
      <c r="F129" s="64">
        <v>0.0</v>
      </c>
      <c r="G129" s="64">
        <v>0.0</v>
      </c>
      <c r="H129" s="64">
        <v>0.0</v>
      </c>
      <c r="I129" s="64">
        <v>1.1</v>
      </c>
      <c r="J129" s="64">
        <v>3.1</v>
      </c>
      <c r="K129" s="64">
        <v>3.1</v>
      </c>
      <c r="L129" s="113">
        <v>0.0</v>
      </c>
      <c r="M129" s="61">
        <v>0.0</v>
      </c>
      <c r="N129" s="114">
        <v>0.04</v>
      </c>
      <c r="O129" s="64">
        <v>0.0</v>
      </c>
      <c r="P129" s="64">
        <v>0.01</v>
      </c>
      <c r="Q129" s="64">
        <v>0.0</v>
      </c>
      <c r="R129" s="64">
        <v>0.0</v>
      </c>
      <c r="S129" s="58">
        <v>0.0</v>
      </c>
      <c r="T129" s="58">
        <v>0.0</v>
      </c>
      <c r="AA129" s="39">
        <v>6.3</v>
      </c>
      <c r="AK129" s="10"/>
    </row>
    <row r="130" ht="15.75" customHeight="1">
      <c r="B130" s="39" t="s">
        <v>207</v>
      </c>
      <c r="C130" s="39" t="s">
        <v>210</v>
      </c>
      <c r="D130" s="69">
        <v>2.269999999999996</v>
      </c>
      <c r="E130" s="64">
        <v>96.3</v>
      </c>
      <c r="F130" s="64">
        <v>21.8</v>
      </c>
      <c r="G130" s="64">
        <v>0.15</v>
      </c>
      <c r="H130" s="64">
        <v>5.3</v>
      </c>
      <c r="I130" s="64">
        <v>1.43</v>
      </c>
      <c r="J130" s="64">
        <v>2.27</v>
      </c>
      <c r="K130" s="112">
        <v>0.0</v>
      </c>
      <c r="L130" s="113">
        <v>0.0</v>
      </c>
      <c r="M130" s="61">
        <v>0.0</v>
      </c>
      <c r="N130" s="114">
        <v>0.0</v>
      </c>
      <c r="O130" s="64">
        <v>0.0</v>
      </c>
      <c r="P130" s="64">
        <v>22.0</v>
      </c>
      <c r="Q130" s="64">
        <v>8.1</v>
      </c>
      <c r="R130" s="64">
        <v>0.0</v>
      </c>
      <c r="S130" s="58">
        <v>0.0</v>
      </c>
      <c r="T130" s="58">
        <v>0.0</v>
      </c>
      <c r="AK130" s="10"/>
    </row>
    <row r="131" ht="15.75" customHeight="1">
      <c r="B131" s="39" t="s">
        <v>207</v>
      </c>
      <c r="C131" s="39" t="s">
        <v>211</v>
      </c>
      <c r="D131" s="112">
        <v>71.0</v>
      </c>
      <c r="E131" s="112">
        <v>0.0</v>
      </c>
      <c r="F131" s="112">
        <v>0.0</v>
      </c>
      <c r="G131" s="112">
        <v>0.0</v>
      </c>
      <c r="H131" s="112">
        <v>0.0</v>
      </c>
      <c r="I131" s="112">
        <v>0.0</v>
      </c>
      <c r="J131" s="112">
        <v>29.0</v>
      </c>
      <c r="K131" s="112">
        <v>0.0</v>
      </c>
      <c r="L131" s="121">
        <v>0.0</v>
      </c>
      <c r="M131" s="43">
        <v>0.0</v>
      </c>
      <c r="N131" s="122">
        <v>0.0</v>
      </c>
      <c r="O131" s="112">
        <v>61.0</v>
      </c>
      <c r="P131" s="112">
        <v>0.0</v>
      </c>
      <c r="Q131" s="112">
        <v>0.0</v>
      </c>
      <c r="R131" s="112">
        <v>0.0</v>
      </c>
      <c r="S131" s="50">
        <v>0.0</v>
      </c>
      <c r="T131" s="50">
        <v>0.0</v>
      </c>
      <c r="AA131" s="39">
        <v>0.42</v>
      </c>
      <c r="AK131" s="10"/>
    </row>
    <row r="132" ht="15.75" customHeight="1">
      <c r="B132" s="39" t="s">
        <v>207</v>
      </c>
      <c r="C132" s="39" t="s">
        <v>212</v>
      </c>
      <c r="D132" s="39">
        <v>58.8</v>
      </c>
      <c r="E132" s="61">
        <v>1.2</v>
      </c>
      <c r="F132" s="61">
        <v>0.3</v>
      </c>
      <c r="G132" s="61">
        <v>0.0</v>
      </c>
      <c r="H132" s="61">
        <v>0.0</v>
      </c>
      <c r="I132" s="61">
        <v>0.0</v>
      </c>
      <c r="J132" s="61">
        <v>40.0</v>
      </c>
      <c r="K132" s="43">
        <v>0.0</v>
      </c>
      <c r="L132" s="61">
        <v>0.0</v>
      </c>
      <c r="M132" s="61">
        <v>0.0</v>
      </c>
      <c r="N132" s="61">
        <v>0.0</v>
      </c>
      <c r="O132" s="61">
        <v>62.0</v>
      </c>
      <c r="P132" s="61">
        <v>0.0</v>
      </c>
      <c r="Q132" s="61">
        <v>0.0</v>
      </c>
      <c r="R132" s="146">
        <v>0.0</v>
      </c>
      <c r="S132" s="146">
        <v>0.0</v>
      </c>
      <c r="T132" s="95">
        <v>0.0</v>
      </c>
      <c r="AA132" s="39">
        <v>0.4</v>
      </c>
      <c r="AK132" s="10"/>
    </row>
    <row r="133" ht="15.75" customHeight="1">
      <c r="B133" s="39" t="s">
        <v>207</v>
      </c>
      <c r="C133" s="39" t="s">
        <v>213</v>
      </c>
      <c r="D133" s="64">
        <f>100-(I133+J133)</f>
        <v>89.6</v>
      </c>
      <c r="E133" s="64">
        <v>0.0</v>
      </c>
      <c r="F133" s="64">
        <v>0.0</v>
      </c>
      <c r="G133" s="64">
        <v>0.0</v>
      </c>
      <c r="H133" s="64">
        <v>0.0</v>
      </c>
      <c r="I133" s="64">
        <v>3.8</v>
      </c>
      <c r="J133" s="64">
        <v>6.6</v>
      </c>
      <c r="K133" s="112">
        <v>0.0</v>
      </c>
      <c r="L133" s="113">
        <v>0.0</v>
      </c>
      <c r="M133" s="61">
        <v>0.0</v>
      </c>
      <c r="N133" s="114">
        <v>0.0</v>
      </c>
      <c r="O133" s="64">
        <v>8.0</v>
      </c>
      <c r="P133" s="64">
        <v>0.0</v>
      </c>
      <c r="Q133" s="64">
        <v>0.0</v>
      </c>
      <c r="R133" s="64">
        <v>0.0</v>
      </c>
      <c r="S133" s="58">
        <v>0.0</v>
      </c>
      <c r="T133" s="58">
        <v>0.0</v>
      </c>
      <c r="AA133" s="39">
        <v>0.2</v>
      </c>
      <c r="AK133" s="10"/>
    </row>
    <row r="134" ht="15.75" customHeight="1">
      <c r="B134" s="39" t="s">
        <v>207</v>
      </c>
      <c r="C134" s="39" t="s">
        <v>215</v>
      </c>
      <c r="D134" s="39">
        <v>6.0</v>
      </c>
      <c r="E134" s="61">
        <v>0.0</v>
      </c>
      <c r="F134" s="61">
        <v>0.0</v>
      </c>
      <c r="G134" s="61">
        <v>0.0</v>
      </c>
      <c r="H134" s="61">
        <v>0.0</v>
      </c>
      <c r="I134" s="61">
        <v>0.0</v>
      </c>
      <c r="J134" s="61">
        <v>25.0</v>
      </c>
      <c r="K134" s="43">
        <v>4.9</v>
      </c>
      <c r="L134" s="61">
        <v>4.9</v>
      </c>
      <c r="M134" s="61">
        <v>0.0</v>
      </c>
      <c r="N134" s="61">
        <v>0.0</v>
      </c>
      <c r="O134" s="61">
        <v>14.0</v>
      </c>
      <c r="P134" s="61">
        <v>3.7</v>
      </c>
      <c r="Q134" s="61">
        <v>0.0</v>
      </c>
      <c r="R134" s="146">
        <v>0.0</v>
      </c>
      <c r="S134" s="146">
        <v>0.0</v>
      </c>
      <c r="T134" s="95">
        <v>0.0</v>
      </c>
      <c r="AK134" s="10"/>
    </row>
    <row r="135" ht="15.75" customHeight="1">
      <c r="AK135" s="10"/>
    </row>
    <row r="136" ht="15.75" customHeight="1">
      <c r="AK136" s="10"/>
    </row>
    <row r="137" ht="15.75" customHeight="1">
      <c r="AK137" s="10"/>
    </row>
    <row r="138" ht="15.75" customHeight="1">
      <c r="AK138" s="10"/>
    </row>
    <row r="139" ht="15.75" customHeight="1">
      <c r="AK139" s="10"/>
    </row>
    <row r="140" ht="15.75" customHeight="1">
      <c r="AK140" s="10"/>
    </row>
    <row r="141" ht="15.75" customHeight="1">
      <c r="AK141" s="10"/>
    </row>
    <row r="142" ht="15.75" customHeight="1">
      <c r="AK142" s="10"/>
    </row>
    <row r="143" ht="15.75" customHeight="1">
      <c r="AK143" s="10"/>
    </row>
    <row r="144" ht="15.75" customHeight="1">
      <c r="AK144" s="10"/>
    </row>
    <row r="145" ht="15.75" customHeight="1">
      <c r="AK145" s="10"/>
    </row>
    <row r="146" ht="15.75" customHeight="1">
      <c r="AK146" s="10"/>
    </row>
    <row r="147" ht="15.75" customHeight="1">
      <c r="AK147" s="10"/>
    </row>
    <row r="148" ht="15.75" customHeight="1">
      <c r="AK148" s="10"/>
    </row>
    <row r="149" ht="15.75" customHeight="1">
      <c r="AK149" s="10"/>
    </row>
    <row r="150" ht="15.75" customHeight="1">
      <c r="AK150" s="10"/>
    </row>
    <row r="151" ht="15.75" customHeight="1">
      <c r="AK151" s="10"/>
    </row>
    <row r="152" ht="15.75" customHeight="1">
      <c r="AK152" s="10"/>
    </row>
    <row r="153" ht="15.75" customHeight="1">
      <c r="AK153" s="10"/>
    </row>
    <row r="154" ht="15.75" customHeight="1">
      <c r="AK154" s="10"/>
    </row>
    <row r="155" ht="15.75" customHeight="1">
      <c r="AK155" s="10"/>
    </row>
    <row r="156" ht="15.75" customHeight="1">
      <c r="AK156" s="10"/>
    </row>
    <row r="157" ht="15.75" customHeight="1">
      <c r="AK157" s="10"/>
    </row>
    <row r="158" ht="15.75" customHeight="1">
      <c r="AK158" s="10"/>
    </row>
    <row r="159" ht="15.75" customHeight="1">
      <c r="AK159" s="10"/>
    </row>
    <row r="160" ht="15.75" customHeight="1">
      <c r="AK160" s="10"/>
    </row>
    <row r="161" ht="15.75" customHeight="1">
      <c r="AK161" s="10"/>
    </row>
    <row r="162" ht="15.75" customHeight="1">
      <c r="AK162" s="10"/>
    </row>
    <row r="163" ht="15.75" customHeight="1">
      <c r="AK163" s="10"/>
    </row>
    <row r="164" ht="15.75" customHeight="1">
      <c r="AK164" s="10"/>
    </row>
    <row r="165" ht="15.75" customHeight="1">
      <c r="AK165" s="10"/>
    </row>
    <row r="166" ht="15.75" customHeight="1">
      <c r="AK166" s="10"/>
    </row>
    <row r="167" ht="15.75" customHeight="1">
      <c r="AK167" s="10"/>
    </row>
    <row r="168" ht="15.75" customHeight="1">
      <c r="AK168" s="10"/>
    </row>
    <row r="169" ht="15.75" customHeight="1">
      <c r="AK169" s="10"/>
    </row>
    <row r="170" ht="15.75" customHeight="1">
      <c r="AK170" s="10"/>
    </row>
    <row r="171" ht="15.75" customHeight="1">
      <c r="AK171" s="10"/>
    </row>
    <row r="172" ht="15.75" customHeight="1">
      <c r="AK172" s="10"/>
    </row>
    <row r="173" ht="15.75" customHeight="1">
      <c r="AK173" s="10"/>
    </row>
    <row r="174" ht="15.75" customHeight="1">
      <c r="AK174" s="10"/>
    </row>
    <row r="175" ht="15.75" customHeight="1">
      <c r="AK175" s="10"/>
    </row>
    <row r="176" ht="15.75" customHeight="1">
      <c r="AK176" s="10"/>
    </row>
    <row r="177" ht="15.75" customHeight="1">
      <c r="AK177" s="10"/>
    </row>
    <row r="178" ht="15.75" customHeight="1">
      <c r="AK178" s="10"/>
    </row>
    <row r="179" ht="15.75" customHeight="1">
      <c r="AK179" s="10"/>
    </row>
    <row r="180" ht="15.75" customHeight="1">
      <c r="AK180" s="10"/>
    </row>
    <row r="181" ht="15.75" customHeight="1">
      <c r="AK181" s="10"/>
    </row>
    <row r="182" ht="15.75" customHeight="1">
      <c r="AK182" s="10"/>
    </row>
    <row r="183" ht="15.75" customHeight="1">
      <c r="AK183" s="10"/>
    </row>
    <row r="184" ht="15.75" customHeight="1">
      <c r="AK184" s="10"/>
    </row>
    <row r="185" ht="15.75" customHeight="1">
      <c r="AK185" s="10"/>
    </row>
    <row r="186" ht="15.75" customHeight="1">
      <c r="AK186" s="10"/>
    </row>
    <row r="187" ht="15.75" customHeight="1">
      <c r="AK187" s="10"/>
    </row>
    <row r="188" ht="15.75" customHeight="1">
      <c r="AK188" s="10"/>
    </row>
    <row r="189" ht="15.75" customHeight="1">
      <c r="AK189" s="10"/>
    </row>
    <row r="190" ht="15.75" customHeight="1">
      <c r="AK190" s="10"/>
    </row>
    <row r="191" ht="15.75" customHeight="1">
      <c r="AK191" s="10"/>
    </row>
    <row r="192" ht="15.75" customHeight="1">
      <c r="AK192" s="10"/>
    </row>
    <row r="193" ht="15.75" customHeight="1">
      <c r="AK193" s="10"/>
    </row>
    <row r="194" ht="15.75" customHeight="1">
      <c r="AK194" s="10"/>
    </row>
    <row r="195" ht="15.75" customHeight="1">
      <c r="AK195" s="10"/>
    </row>
    <row r="196" ht="15.75" customHeight="1">
      <c r="AK196" s="10"/>
    </row>
    <row r="197" ht="15.75" customHeight="1">
      <c r="AK197" s="10"/>
    </row>
    <row r="198" ht="15.75" customHeight="1">
      <c r="AK198" s="10"/>
    </row>
    <row r="199" ht="15.75" customHeight="1">
      <c r="AK199" s="10"/>
    </row>
    <row r="200" ht="15.75" customHeight="1">
      <c r="AK200" s="10"/>
    </row>
    <row r="201" ht="15.75" customHeight="1">
      <c r="AK201" s="10"/>
    </row>
    <row r="202" ht="15.75" customHeight="1">
      <c r="AK202" s="10"/>
    </row>
    <row r="203" ht="15.75" customHeight="1">
      <c r="AK203" s="10"/>
    </row>
    <row r="204" ht="15.75" customHeight="1">
      <c r="AK204" s="10"/>
    </row>
    <row r="205" ht="15.75" customHeight="1">
      <c r="AK205" s="10"/>
    </row>
    <row r="206" ht="15.75" customHeight="1">
      <c r="AK206" s="10"/>
    </row>
    <row r="207" ht="15.75" customHeight="1">
      <c r="AK207" s="10"/>
    </row>
    <row r="208" ht="15.75" customHeight="1">
      <c r="AK208" s="10"/>
    </row>
    <row r="209" ht="15.75" customHeight="1">
      <c r="AK209" s="10"/>
    </row>
    <row r="210" ht="15.75" customHeight="1">
      <c r="AK210" s="10"/>
    </row>
    <row r="211" ht="15.75" customHeight="1">
      <c r="AK211" s="10"/>
    </row>
    <row r="212" ht="15.75" customHeight="1">
      <c r="AK212" s="10"/>
    </row>
    <row r="213" ht="15.75" customHeight="1">
      <c r="AK213" s="10"/>
    </row>
    <row r="214" ht="15.75" customHeight="1">
      <c r="AK214" s="10"/>
    </row>
    <row r="215" ht="15.75" customHeight="1">
      <c r="AK215" s="10"/>
    </row>
    <row r="216" ht="15.75" customHeight="1">
      <c r="AK216" s="10"/>
    </row>
    <row r="217" ht="15.75" customHeight="1">
      <c r="AK217" s="10"/>
    </row>
    <row r="218" ht="15.75" customHeight="1">
      <c r="AK218" s="10"/>
    </row>
    <row r="219" ht="15.75" customHeight="1">
      <c r="AK219" s="10"/>
    </row>
    <row r="220" ht="15.75" customHeight="1">
      <c r="AK220" s="10"/>
    </row>
    <row r="221" ht="15.75" customHeight="1">
      <c r="AK221" s="10"/>
    </row>
    <row r="222" ht="15.75" customHeight="1">
      <c r="AK222" s="10"/>
    </row>
    <row r="223" ht="15.75" customHeight="1">
      <c r="AK223" s="10"/>
    </row>
    <row r="224" ht="15.75" customHeight="1">
      <c r="AK224" s="10"/>
    </row>
    <row r="225" ht="15.75" customHeight="1">
      <c r="AK225" s="10"/>
    </row>
    <row r="226" ht="15.75" customHeight="1">
      <c r="AK226" s="10"/>
    </row>
    <row r="227" ht="15.75" customHeight="1">
      <c r="AK227" s="10"/>
    </row>
    <row r="228" ht="15.75" customHeight="1">
      <c r="AK228" s="10"/>
    </row>
    <row r="229" ht="15.75" customHeight="1">
      <c r="AK229" s="10"/>
    </row>
    <row r="230" ht="15.75" customHeight="1">
      <c r="AK230" s="10"/>
    </row>
    <row r="231" ht="15.75" customHeight="1">
      <c r="AK231" s="10"/>
    </row>
    <row r="232" ht="15.75" customHeight="1">
      <c r="AK232" s="10"/>
    </row>
    <row r="233" ht="15.75" customHeight="1">
      <c r="AK233" s="10"/>
    </row>
    <row r="234" ht="15.75" customHeight="1">
      <c r="AK234" s="10"/>
    </row>
    <row r="235" ht="15.75" customHeight="1">
      <c r="AK235" s="10"/>
    </row>
    <row r="236" ht="15.75" customHeight="1">
      <c r="AK236" s="10"/>
    </row>
    <row r="237" ht="15.75" customHeight="1">
      <c r="AK237" s="10"/>
    </row>
    <row r="238" ht="15.75" customHeight="1">
      <c r="AK238" s="10"/>
    </row>
    <row r="239" ht="15.75" customHeight="1">
      <c r="AK239" s="10"/>
    </row>
    <row r="240" ht="15.75" customHeight="1">
      <c r="AK240" s="10"/>
    </row>
    <row r="241" ht="15.75" customHeight="1">
      <c r="AK241" s="10"/>
    </row>
    <row r="242" ht="15.75" customHeight="1">
      <c r="AK242" s="10"/>
    </row>
    <row r="243" ht="15.75" customHeight="1">
      <c r="AK243" s="10"/>
    </row>
    <row r="244" ht="15.75" customHeight="1">
      <c r="AK244" s="10"/>
    </row>
    <row r="245" ht="15.75" customHeight="1">
      <c r="AK245" s="10"/>
    </row>
    <row r="246" ht="15.75" customHeight="1">
      <c r="AK246" s="10"/>
    </row>
    <row r="247" ht="15.75" customHeight="1">
      <c r="AK247" s="10"/>
    </row>
    <row r="248" ht="15.75" customHeight="1">
      <c r="AK248" s="10"/>
    </row>
    <row r="249" ht="15.75" customHeight="1">
      <c r="AK249" s="10"/>
    </row>
    <row r="250" ht="15.75" customHeight="1">
      <c r="AK250" s="10"/>
    </row>
    <row r="251" ht="15.75" customHeight="1">
      <c r="AK251" s="10"/>
    </row>
    <row r="252" ht="15.75" customHeight="1">
      <c r="AK252" s="10"/>
    </row>
    <row r="253" ht="15.75" customHeight="1">
      <c r="AK253" s="10"/>
    </row>
    <row r="254" ht="15.75" customHeight="1">
      <c r="AK254" s="10"/>
    </row>
    <row r="255" ht="15.75" customHeight="1">
      <c r="AK255" s="10"/>
    </row>
    <row r="256" ht="15.75" customHeight="1">
      <c r="AK256" s="10"/>
    </row>
    <row r="257" ht="15.75" customHeight="1">
      <c r="AK257" s="10"/>
    </row>
    <row r="258" ht="15.75" customHeight="1">
      <c r="AK258" s="10"/>
    </row>
    <row r="259" ht="15.75" customHeight="1">
      <c r="AK259" s="10"/>
    </row>
    <row r="260" ht="15.75" customHeight="1">
      <c r="AK260" s="10"/>
    </row>
    <row r="261" ht="15.75" customHeight="1">
      <c r="AK261" s="10"/>
    </row>
    <row r="262" ht="15.75" customHeight="1">
      <c r="AK262" s="10"/>
    </row>
    <row r="263" ht="15.75" customHeight="1">
      <c r="AK263" s="10"/>
    </row>
    <row r="264" ht="15.75" customHeight="1">
      <c r="AK264" s="10"/>
    </row>
    <row r="265" ht="15.75" customHeight="1">
      <c r="AK265" s="10"/>
    </row>
    <row r="266" ht="15.75" customHeight="1">
      <c r="AK266" s="10"/>
    </row>
    <row r="267" ht="15.75" customHeight="1">
      <c r="AK267" s="10"/>
    </row>
    <row r="268" ht="15.75" customHeight="1">
      <c r="AK268" s="10"/>
    </row>
    <row r="269" ht="15.75" customHeight="1">
      <c r="AK269" s="10"/>
    </row>
    <row r="270" ht="15.75" customHeight="1">
      <c r="AK270" s="10"/>
    </row>
    <row r="271" ht="15.75" customHeight="1">
      <c r="AK271" s="10"/>
    </row>
    <row r="272" ht="15.75" customHeight="1">
      <c r="AK272" s="10"/>
    </row>
    <row r="273" ht="15.75" customHeight="1">
      <c r="AK273" s="10"/>
    </row>
    <row r="274" ht="15.75" customHeight="1">
      <c r="AK274" s="10"/>
    </row>
    <row r="275" ht="15.75" customHeight="1">
      <c r="AK275" s="10"/>
    </row>
    <row r="276" ht="15.75" customHeight="1">
      <c r="AK276" s="10"/>
    </row>
    <row r="277" ht="15.75" customHeight="1">
      <c r="AK277" s="10"/>
    </row>
    <row r="278" ht="15.75" customHeight="1">
      <c r="AK278" s="10"/>
    </row>
    <row r="279" ht="15.75" customHeight="1">
      <c r="AK279" s="10"/>
    </row>
    <row r="280" ht="15.75" customHeight="1">
      <c r="AK280" s="10"/>
    </row>
    <row r="281" ht="15.75" customHeight="1">
      <c r="AK281" s="10"/>
    </row>
    <row r="282" ht="15.75" customHeight="1">
      <c r="AK282" s="10"/>
    </row>
    <row r="283" ht="15.75" customHeight="1">
      <c r="AK283" s="10"/>
    </row>
    <row r="284" ht="15.75" customHeight="1">
      <c r="AK284" s="10"/>
    </row>
    <row r="285" ht="15.75" customHeight="1">
      <c r="AK285" s="10"/>
    </row>
    <row r="286" ht="15.75" customHeight="1">
      <c r="AK286" s="10"/>
    </row>
    <row r="287" ht="15.75" customHeight="1">
      <c r="AK287" s="10"/>
    </row>
    <row r="288" ht="15.75" customHeight="1">
      <c r="AK288" s="10"/>
    </row>
    <row r="289" ht="15.75" customHeight="1">
      <c r="AK289" s="10"/>
    </row>
    <row r="290" ht="15.75" customHeight="1">
      <c r="AK290" s="10"/>
    </row>
    <row r="291" ht="15.75" customHeight="1">
      <c r="AK291" s="10"/>
    </row>
    <row r="292" ht="15.75" customHeight="1">
      <c r="AK292" s="10"/>
    </row>
    <row r="293" ht="15.75" customHeight="1">
      <c r="AK293" s="10"/>
    </row>
    <row r="294" ht="15.75" customHeight="1">
      <c r="AK294" s="10"/>
    </row>
    <row r="295" ht="15.75" customHeight="1">
      <c r="AK295" s="10"/>
    </row>
    <row r="296" ht="15.75" customHeight="1">
      <c r="AK296" s="10"/>
    </row>
    <row r="297" ht="15.75" customHeight="1">
      <c r="AK297" s="10"/>
    </row>
    <row r="298" ht="15.75" customHeight="1">
      <c r="AK298" s="10"/>
    </row>
    <row r="299" ht="15.75" customHeight="1">
      <c r="AK299" s="10"/>
    </row>
    <row r="300" ht="15.75" customHeight="1">
      <c r="AK300" s="10"/>
    </row>
    <row r="301" ht="15.75" customHeight="1">
      <c r="AK301" s="10"/>
    </row>
    <row r="302" ht="15.75" customHeight="1">
      <c r="AK302" s="10"/>
    </row>
    <row r="303" ht="15.75" customHeight="1">
      <c r="AK303" s="10"/>
    </row>
    <row r="304" ht="15.75" customHeight="1">
      <c r="AK304" s="10"/>
    </row>
    <row r="305" ht="15.75" customHeight="1">
      <c r="AK305" s="10"/>
    </row>
    <row r="306" ht="15.75" customHeight="1">
      <c r="AK306" s="10"/>
    </row>
    <row r="307" ht="15.75" customHeight="1">
      <c r="AK307" s="10"/>
    </row>
    <row r="308" ht="15.75" customHeight="1">
      <c r="AK308" s="10"/>
    </row>
    <row r="309" ht="15.75" customHeight="1">
      <c r="AK309" s="10"/>
    </row>
    <row r="310" ht="15.75" customHeight="1">
      <c r="AK310" s="10"/>
    </row>
    <row r="311" ht="15.75" customHeight="1">
      <c r="AK311" s="10"/>
    </row>
    <row r="312" ht="15.75" customHeight="1">
      <c r="AK312" s="10"/>
    </row>
    <row r="313" ht="15.75" customHeight="1">
      <c r="AK313" s="10"/>
    </row>
    <row r="314" ht="15.75" customHeight="1">
      <c r="AK314" s="10"/>
    </row>
    <row r="315" ht="15.75" customHeight="1">
      <c r="AK315" s="10"/>
    </row>
    <row r="316" ht="15.75" customHeight="1">
      <c r="AK316" s="10"/>
    </row>
    <row r="317" ht="15.75" customHeight="1">
      <c r="AK317" s="10"/>
    </row>
    <row r="318" ht="15.75" customHeight="1">
      <c r="AK318" s="10"/>
    </row>
    <row r="319" ht="15.75" customHeight="1">
      <c r="AK319" s="10"/>
    </row>
    <row r="320" ht="15.75" customHeight="1">
      <c r="AK320" s="10"/>
    </row>
    <row r="321" ht="15.75" customHeight="1">
      <c r="AK321" s="10"/>
    </row>
    <row r="322" ht="15.75" customHeight="1">
      <c r="AK322" s="10"/>
    </row>
    <row r="323" ht="15.75" customHeight="1">
      <c r="AK323" s="10"/>
    </row>
    <row r="324" ht="15.75" customHeight="1">
      <c r="AK324" s="10"/>
    </row>
    <row r="325" ht="15.75" customHeight="1">
      <c r="AK325" s="10"/>
    </row>
    <row r="326" ht="15.75" customHeight="1">
      <c r="AK326" s="10"/>
    </row>
    <row r="327" ht="15.75" customHeight="1">
      <c r="AK327" s="10"/>
    </row>
    <row r="328" ht="15.75" customHeight="1">
      <c r="AK328" s="10"/>
    </row>
    <row r="329" ht="15.75" customHeight="1">
      <c r="AK329" s="10"/>
    </row>
    <row r="330" ht="15.75" customHeight="1">
      <c r="AK330" s="10"/>
    </row>
    <row r="331" ht="15.75" customHeight="1">
      <c r="AK331" s="10"/>
    </row>
    <row r="332" ht="15.75" customHeight="1">
      <c r="AK332" s="10"/>
    </row>
    <row r="333" ht="15.75" customHeight="1">
      <c r="AK333" s="10"/>
    </row>
    <row r="334" ht="15.75" customHeight="1">
      <c r="AK334" s="10"/>
    </row>
    <row r="335" ht="15.75" customHeight="1">
      <c r="AK335" s="10"/>
    </row>
    <row r="336" ht="15.75" customHeight="1">
      <c r="AK336" s="10"/>
    </row>
    <row r="337" ht="15.75" customHeight="1">
      <c r="AK337" s="10"/>
    </row>
    <row r="338" ht="15.75" customHeight="1">
      <c r="AK338" s="10"/>
    </row>
    <row r="339" ht="15.75" customHeight="1">
      <c r="AK339" s="10"/>
    </row>
    <row r="340" ht="15.75" customHeight="1">
      <c r="AK340" s="10"/>
    </row>
    <row r="341" ht="15.75" customHeight="1">
      <c r="AK341" s="10"/>
    </row>
    <row r="342" ht="15.75" customHeight="1">
      <c r="AK342" s="10"/>
    </row>
    <row r="343" ht="15.75" customHeight="1">
      <c r="AK343" s="10"/>
    </row>
    <row r="344" ht="15.75" customHeight="1">
      <c r="AK344" s="10"/>
    </row>
    <row r="345" ht="15.75" customHeight="1">
      <c r="AK345" s="10"/>
    </row>
    <row r="346" ht="15.75" customHeight="1">
      <c r="AK346" s="10"/>
    </row>
    <row r="347" ht="15.75" customHeight="1">
      <c r="AK347" s="10"/>
    </row>
    <row r="348" ht="15.75" customHeight="1">
      <c r="AK348" s="10"/>
    </row>
    <row r="349" ht="15.75" customHeight="1">
      <c r="AK349" s="10"/>
    </row>
    <row r="350" ht="15.75" customHeight="1">
      <c r="AK350" s="10"/>
    </row>
    <row r="351" ht="15.75" customHeight="1">
      <c r="AK351" s="10"/>
    </row>
    <row r="352" ht="15.75" customHeight="1">
      <c r="AK352" s="10"/>
    </row>
    <row r="353" ht="15.75" customHeight="1">
      <c r="AK353" s="10"/>
    </row>
    <row r="354" ht="15.75" customHeight="1">
      <c r="AK354" s="10"/>
    </row>
    <row r="355" ht="15.75" customHeight="1">
      <c r="AK355" s="10"/>
    </row>
    <row r="356" ht="15.75" customHeight="1">
      <c r="AK356" s="10"/>
    </row>
    <row r="357" ht="15.75" customHeight="1">
      <c r="AK357" s="10"/>
    </row>
    <row r="358" ht="15.75" customHeight="1">
      <c r="AK358" s="10"/>
    </row>
    <row r="359" ht="15.75" customHeight="1">
      <c r="AK359" s="10"/>
    </row>
    <row r="360" ht="15.75" customHeight="1">
      <c r="AK360" s="10"/>
    </row>
    <row r="361" ht="15.75" customHeight="1">
      <c r="AK361" s="10"/>
    </row>
    <row r="362" ht="15.75" customHeight="1">
      <c r="AK362" s="10"/>
    </row>
    <row r="363" ht="15.75" customHeight="1">
      <c r="AK363" s="10"/>
    </row>
    <row r="364" ht="15.75" customHeight="1">
      <c r="AK364" s="10"/>
    </row>
    <row r="365" ht="15.75" customHeight="1">
      <c r="AK365" s="10"/>
    </row>
    <row r="366" ht="15.75" customHeight="1">
      <c r="AK366" s="10"/>
    </row>
    <row r="367" ht="15.75" customHeight="1">
      <c r="AK367" s="10"/>
    </row>
    <row r="368" ht="15.75" customHeight="1">
      <c r="AK368" s="10"/>
    </row>
    <row r="369" ht="15.75" customHeight="1">
      <c r="AK369" s="10"/>
    </row>
    <row r="370" ht="15.75" customHeight="1">
      <c r="AK370" s="10"/>
    </row>
    <row r="371" ht="15.75" customHeight="1">
      <c r="AK371" s="10"/>
    </row>
    <row r="372" ht="15.75" customHeight="1">
      <c r="AK372" s="10"/>
    </row>
    <row r="373" ht="15.75" customHeight="1">
      <c r="AK373" s="10"/>
    </row>
    <row r="374" ht="15.75" customHeight="1">
      <c r="AK374" s="10"/>
    </row>
    <row r="375" ht="15.75" customHeight="1">
      <c r="AK375" s="10"/>
    </row>
    <row r="376" ht="15.75" customHeight="1">
      <c r="AK376" s="10"/>
    </row>
    <row r="377" ht="15.75" customHeight="1">
      <c r="AK377" s="10"/>
    </row>
    <row r="378" ht="15.75" customHeight="1">
      <c r="AK378" s="10"/>
    </row>
    <row r="379" ht="15.75" customHeight="1">
      <c r="AK379" s="10"/>
    </row>
    <row r="380" ht="15.75" customHeight="1">
      <c r="AK380" s="10"/>
    </row>
    <row r="381" ht="15.75" customHeight="1">
      <c r="AK381" s="10"/>
    </row>
    <row r="382" ht="15.75" customHeight="1">
      <c r="AK382" s="10"/>
    </row>
    <row r="383" ht="15.75" customHeight="1">
      <c r="AK383" s="10"/>
    </row>
    <row r="384" ht="15.75" customHeight="1">
      <c r="AK384" s="10"/>
    </row>
    <row r="385" ht="15.75" customHeight="1">
      <c r="AK385" s="10"/>
    </row>
    <row r="386" ht="15.75" customHeight="1">
      <c r="AK386" s="10"/>
    </row>
    <row r="387" ht="15.75" customHeight="1">
      <c r="AK387" s="10"/>
    </row>
    <row r="388" ht="15.75" customHeight="1">
      <c r="AK388" s="10"/>
    </row>
    <row r="389" ht="15.75" customHeight="1">
      <c r="AK389" s="10"/>
    </row>
    <row r="390" ht="15.75" customHeight="1">
      <c r="AK390" s="10"/>
    </row>
    <row r="391" ht="15.75" customHeight="1">
      <c r="AK391" s="10"/>
    </row>
    <row r="392" ht="15.75" customHeight="1">
      <c r="AK392" s="10"/>
    </row>
    <row r="393" ht="15.75" customHeight="1">
      <c r="AK393" s="10"/>
    </row>
    <row r="394" ht="15.75" customHeight="1">
      <c r="AK394" s="10"/>
    </row>
    <row r="395" ht="15.75" customHeight="1">
      <c r="AK395" s="10"/>
    </row>
    <row r="396" ht="15.75" customHeight="1">
      <c r="AK396" s="10"/>
    </row>
    <row r="397" ht="15.75" customHeight="1">
      <c r="AK397" s="10"/>
    </row>
    <row r="398" ht="15.75" customHeight="1">
      <c r="AK398" s="10"/>
    </row>
    <row r="399" ht="15.75" customHeight="1">
      <c r="AK399" s="10"/>
    </row>
    <row r="400" ht="15.75" customHeight="1">
      <c r="AK400" s="10"/>
    </row>
    <row r="401" ht="15.75" customHeight="1">
      <c r="AK401" s="10"/>
    </row>
    <row r="402" ht="15.75" customHeight="1">
      <c r="AK402" s="10"/>
    </row>
    <row r="403" ht="15.75" customHeight="1">
      <c r="AK403" s="10"/>
    </row>
    <row r="404" ht="15.75" customHeight="1">
      <c r="AK404" s="10"/>
    </row>
    <row r="405" ht="15.75" customHeight="1">
      <c r="AK405" s="10"/>
    </row>
    <row r="406" ht="15.75" customHeight="1">
      <c r="AK406" s="10"/>
    </row>
    <row r="407" ht="15.75" customHeight="1">
      <c r="AK407" s="10"/>
    </row>
    <row r="408" ht="15.75" customHeight="1">
      <c r="AK408" s="10"/>
    </row>
    <row r="409" ht="15.75" customHeight="1">
      <c r="AK409" s="10"/>
    </row>
    <row r="410" ht="15.75" customHeight="1">
      <c r="AK410" s="10"/>
    </row>
    <row r="411" ht="15.75" customHeight="1">
      <c r="AK411" s="10"/>
    </row>
    <row r="412" ht="15.75" customHeight="1">
      <c r="AK412" s="10"/>
    </row>
    <row r="413" ht="15.75" customHeight="1">
      <c r="AK413" s="10"/>
    </row>
    <row r="414" ht="15.75" customHeight="1">
      <c r="AK414" s="10"/>
    </row>
    <row r="415" ht="15.75" customHeight="1">
      <c r="AK415" s="10"/>
    </row>
    <row r="416" ht="15.75" customHeight="1">
      <c r="AK416" s="10"/>
    </row>
    <row r="417" ht="15.75" customHeight="1">
      <c r="AK417" s="10"/>
    </row>
    <row r="418" ht="15.75" customHeight="1">
      <c r="AK418" s="10"/>
    </row>
    <row r="419" ht="15.75" customHeight="1">
      <c r="AK419" s="10"/>
    </row>
    <row r="420" ht="15.75" customHeight="1">
      <c r="AK420" s="10"/>
    </row>
    <row r="421" ht="15.75" customHeight="1">
      <c r="AK421" s="10"/>
    </row>
    <row r="422" ht="15.75" customHeight="1">
      <c r="AK422" s="10"/>
    </row>
    <row r="423" ht="15.75" customHeight="1">
      <c r="AK423" s="10"/>
    </row>
    <row r="424" ht="15.75" customHeight="1">
      <c r="AK424" s="10"/>
    </row>
    <row r="425" ht="15.75" customHeight="1">
      <c r="AK425" s="10"/>
    </row>
    <row r="426" ht="15.75" customHeight="1">
      <c r="AK426" s="10"/>
    </row>
    <row r="427" ht="15.75" customHeight="1">
      <c r="AK427" s="10"/>
    </row>
    <row r="428" ht="15.75" customHeight="1">
      <c r="AK428" s="10"/>
    </row>
    <row r="429" ht="15.75" customHeight="1">
      <c r="AK429" s="10"/>
    </row>
    <row r="430" ht="15.75" customHeight="1">
      <c r="AK430" s="10"/>
    </row>
    <row r="431" ht="15.75" customHeight="1">
      <c r="AK431" s="10"/>
    </row>
    <row r="432" ht="15.75" customHeight="1">
      <c r="AK432" s="10"/>
    </row>
    <row r="433" ht="15.75" customHeight="1">
      <c r="AK433" s="10"/>
    </row>
    <row r="434" ht="15.75" customHeight="1">
      <c r="AK434" s="10"/>
    </row>
    <row r="435" ht="15.75" customHeight="1">
      <c r="AK435" s="10"/>
    </row>
    <row r="436" ht="15.75" customHeight="1">
      <c r="AK436" s="10"/>
    </row>
    <row r="437" ht="15.75" customHeight="1">
      <c r="AK437" s="10"/>
    </row>
    <row r="438" ht="15.75" customHeight="1">
      <c r="AK438" s="10"/>
    </row>
    <row r="439" ht="15.75" customHeight="1">
      <c r="AK439" s="10"/>
    </row>
    <row r="440" ht="15.75" customHeight="1">
      <c r="AK440" s="10"/>
    </row>
    <row r="441" ht="15.75" customHeight="1">
      <c r="AK441" s="10"/>
    </row>
    <row r="442" ht="15.75" customHeight="1">
      <c r="AK442" s="10"/>
    </row>
    <row r="443" ht="15.75" customHeight="1">
      <c r="AK443" s="10"/>
    </row>
    <row r="444" ht="15.75" customHeight="1">
      <c r="AK444" s="10"/>
    </row>
    <row r="445" ht="15.75" customHeight="1">
      <c r="AK445" s="10"/>
    </row>
    <row r="446" ht="15.75" customHeight="1">
      <c r="AK446" s="10"/>
    </row>
    <row r="447" ht="15.75" customHeight="1">
      <c r="AK447" s="10"/>
    </row>
    <row r="448" ht="15.75" customHeight="1">
      <c r="AK448" s="10"/>
    </row>
    <row r="449" ht="15.75" customHeight="1">
      <c r="AK449" s="10"/>
    </row>
    <row r="450" ht="15.75" customHeight="1">
      <c r="AK450" s="10"/>
    </row>
    <row r="451" ht="15.75" customHeight="1">
      <c r="AK451" s="10"/>
    </row>
    <row r="452" ht="15.75" customHeight="1">
      <c r="AK452" s="10"/>
    </row>
    <row r="453" ht="15.75" customHeight="1">
      <c r="AK453" s="10"/>
    </row>
    <row r="454" ht="15.75" customHeight="1">
      <c r="AK454" s="10"/>
    </row>
    <row r="455" ht="15.75" customHeight="1">
      <c r="AK455" s="10"/>
    </row>
    <row r="456" ht="15.75" customHeight="1">
      <c r="AK456" s="10"/>
    </row>
    <row r="457" ht="15.75" customHeight="1">
      <c r="AK457" s="10"/>
    </row>
    <row r="458" ht="15.75" customHeight="1">
      <c r="AK458" s="10"/>
    </row>
    <row r="459" ht="15.75" customHeight="1">
      <c r="AK459" s="10"/>
    </row>
    <row r="460" ht="15.75" customHeight="1">
      <c r="AK460" s="10"/>
    </row>
    <row r="461" ht="15.75" customHeight="1">
      <c r="AK461" s="10"/>
    </row>
    <row r="462" ht="15.75" customHeight="1">
      <c r="AK462" s="10"/>
    </row>
    <row r="463" ht="15.75" customHeight="1">
      <c r="AK463" s="10"/>
    </row>
    <row r="464" ht="15.75" customHeight="1">
      <c r="AK464" s="10"/>
    </row>
    <row r="465" ht="15.75" customHeight="1">
      <c r="AK465" s="10"/>
    </row>
    <row r="466" ht="15.75" customHeight="1">
      <c r="AK466" s="10"/>
    </row>
    <row r="467" ht="15.75" customHeight="1">
      <c r="AK467" s="10"/>
    </row>
    <row r="468" ht="15.75" customHeight="1">
      <c r="AK468" s="10"/>
    </row>
    <row r="469" ht="15.75" customHeight="1">
      <c r="AK469" s="10"/>
    </row>
    <row r="470" ht="15.75" customHeight="1">
      <c r="AK470" s="10"/>
    </row>
    <row r="471" ht="15.75" customHeight="1">
      <c r="AK471" s="10"/>
    </row>
    <row r="472" ht="15.75" customHeight="1">
      <c r="AK472" s="10"/>
    </row>
    <row r="473" ht="15.75" customHeight="1">
      <c r="AK473" s="10"/>
    </row>
    <row r="474" ht="15.75" customHeight="1">
      <c r="AK474" s="10"/>
    </row>
    <row r="475" ht="15.75" customHeight="1">
      <c r="AK475" s="10"/>
    </row>
    <row r="476" ht="15.75" customHeight="1">
      <c r="AK476" s="10"/>
    </row>
    <row r="477" ht="15.75" customHeight="1">
      <c r="AK477" s="10"/>
    </row>
    <row r="478" ht="15.75" customHeight="1">
      <c r="AK478" s="10"/>
    </row>
    <row r="479" ht="15.75" customHeight="1">
      <c r="AK479" s="10"/>
    </row>
    <row r="480" ht="15.75" customHeight="1">
      <c r="AK480" s="10"/>
    </row>
    <row r="481" ht="15.75" customHeight="1">
      <c r="AK481" s="10"/>
    </row>
    <row r="482" ht="15.75" customHeight="1">
      <c r="AK482" s="10"/>
    </row>
    <row r="483" ht="15.75" customHeight="1">
      <c r="AK483" s="10"/>
    </row>
    <row r="484" ht="15.75" customHeight="1">
      <c r="AK484" s="10"/>
    </row>
    <row r="485" ht="15.75" customHeight="1">
      <c r="AK485" s="10"/>
    </row>
    <row r="486" ht="15.75" customHeight="1">
      <c r="AK486" s="10"/>
    </row>
    <row r="487" ht="15.75" customHeight="1">
      <c r="AK487" s="10"/>
    </row>
    <row r="488" ht="15.75" customHeight="1">
      <c r="AK488" s="10"/>
    </row>
    <row r="489" ht="15.75" customHeight="1">
      <c r="AK489" s="10"/>
    </row>
    <row r="490" ht="15.75" customHeight="1">
      <c r="AK490" s="10"/>
    </row>
    <row r="491" ht="15.75" customHeight="1">
      <c r="AK491" s="10"/>
    </row>
    <row r="492" ht="15.75" customHeight="1">
      <c r="AK492" s="10"/>
    </row>
    <row r="493" ht="15.75" customHeight="1">
      <c r="AK493" s="10"/>
    </row>
    <row r="494" ht="15.75" customHeight="1">
      <c r="AK494" s="10"/>
    </row>
    <row r="495" ht="15.75" customHeight="1">
      <c r="AK495" s="10"/>
    </row>
    <row r="496" ht="15.75" customHeight="1">
      <c r="AK496" s="10"/>
    </row>
    <row r="497" ht="15.75" customHeight="1">
      <c r="AK497" s="10"/>
    </row>
    <row r="498" ht="15.75" customHeight="1">
      <c r="AK498" s="10"/>
    </row>
    <row r="499" ht="15.75" customHeight="1">
      <c r="AK499" s="10"/>
    </row>
    <row r="500" ht="15.75" customHeight="1">
      <c r="AK500" s="10"/>
    </row>
    <row r="501" ht="15.75" customHeight="1">
      <c r="AK501" s="10"/>
    </row>
    <row r="502" ht="15.75" customHeight="1">
      <c r="AK502" s="10"/>
    </row>
    <row r="503" ht="15.75" customHeight="1">
      <c r="AK503" s="10"/>
    </row>
    <row r="504" ht="15.75" customHeight="1">
      <c r="AK504" s="10"/>
    </row>
    <row r="505" ht="15.75" customHeight="1">
      <c r="AK505" s="10"/>
    </row>
    <row r="506" ht="15.75" customHeight="1">
      <c r="AK506" s="10"/>
    </row>
    <row r="507" ht="15.75" customHeight="1">
      <c r="AK507" s="10"/>
    </row>
    <row r="508" ht="15.75" customHeight="1">
      <c r="AK508" s="10"/>
    </row>
    <row r="509" ht="15.75" customHeight="1">
      <c r="AK509" s="10"/>
    </row>
    <row r="510" ht="15.75" customHeight="1">
      <c r="AK510" s="10"/>
    </row>
    <row r="511" ht="15.75" customHeight="1">
      <c r="AK511" s="10"/>
    </row>
    <row r="512" ht="15.75" customHeight="1">
      <c r="AK512" s="10"/>
    </row>
    <row r="513" ht="15.75" customHeight="1">
      <c r="AK513" s="10"/>
    </row>
    <row r="514" ht="15.75" customHeight="1">
      <c r="AK514" s="10"/>
    </row>
    <row r="515" ht="15.75" customHeight="1">
      <c r="AK515" s="10"/>
    </row>
    <row r="516" ht="15.75" customHeight="1">
      <c r="AK516" s="10"/>
    </row>
    <row r="517" ht="15.75" customHeight="1">
      <c r="AK517" s="10"/>
    </row>
    <row r="518" ht="15.75" customHeight="1">
      <c r="AK518" s="10"/>
    </row>
    <row r="519" ht="15.75" customHeight="1">
      <c r="AK519" s="10"/>
    </row>
    <row r="520" ht="15.75" customHeight="1">
      <c r="AK520" s="10"/>
    </row>
    <row r="521" ht="15.75" customHeight="1">
      <c r="AK521" s="10"/>
    </row>
    <row r="522" ht="15.75" customHeight="1">
      <c r="AK522" s="10"/>
    </row>
    <row r="523" ht="15.75" customHeight="1">
      <c r="AK523" s="10"/>
    </row>
    <row r="524" ht="15.75" customHeight="1">
      <c r="AK524" s="10"/>
    </row>
    <row r="525" ht="15.75" customHeight="1">
      <c r="AK525" s="10"/>
    </row>
    <row r="526" ht="15.75" customHeight="1">
      <c r="AK526" s="10"/>
    </row>
    <row r="527" ht="15.75" customHeight="1">
      <c r="AK527" s="10"/>
    </row>
    <row r="528" ht="15.75" customHeight="1">
      <c r="AK528" s="10"/>
    </row>
    <row r="529" ht="15.75" customHeight="1">
      <c r="AK529" s="10"/>
    </row>
    <row r="530" ht="15.75" customHeight="1">
      <c r="AK530" s="10"/>
    </row>
    <row r="531" ht="15.75" customHeight="1">
      <c r="AK531" s="10"/>
    </row>
    <row r="532" ht="15.75" customHeight="1">
      <c r="AK532" s="10"/>
    </row>
    <row r="533" ht="15.75" customHeight="1">
      <c r="AK533" s="10"/>
    </row>
    <row r="534" ht="15.75" customHeight="1">
      <c r="AK534" s="10"/>
    </row>
    <row r="535" ht="15.75" customHeight="1">
      <c r="AK535" s="10"/>
    </row>
    <row r="536" ht="15.75" customHeight="1">
      <c r="AK536" s="10"/>
    </row>
    <row r="537" ht="15.75" customHeight="1">
      <c r="AK537" s="10"/>
    </row>
    <row r="538" ht="15.75" customHeight="1">
      <c r="AK538" s="10"/>
    </row>
    <row r="539" ht="15.75" customHeight="1">
      <c r="AK539" s="10"/>
    </row>
    <row r="540" ht="15.75" customHeight="1">
      <c r="AK540" s="10"/>
    </row>
    <row r="541" ht="15.75" customHeight="1">
      <c r="AK541" s="10"/>
    </row>
    <row r="542" ht="15.75" customHeight="1">
      <c r="AK542" s="10"/>
    </row>
    <row r="543" ht="15.75" customHeight="1">
      <c r="AK543" s="10"/>
    </row>
    <row r="544" ht="15.75" customHeight="1">
      <c r="AK544" s="10"/>
    </row>
    <row r="545" ht="15.75" customHeight="1">
      <c r="AK545" s="10"/>
    </row>
    <row r="546" ht="15.75" customHeight="1">
      <c r="AK546" s="10"/>
    </row>
    <row r="547" ht="15.75" customHeight="1">
      <c r="AK547" s="10"/>
    </row>
    <row r="548" ht="15.75" customHeight="1">
      <c r="AK548" s="10"/>
    </row>
    <row r="549" ht="15.75" customHeight="1">
      <c r="AK549" s="10"/>
    </row>
    <row r="550" ht="15.75" customHeight="1">
      <c r="AK550" s="10"/>
    </row>
    <row r="551" ht="15.75" customHeight="1">
      <c r="AK551" s="10"/>
    </row>
    <row r="552" ht="15.75" customHeight="1">
      <c r="AK552" s="10"/>
    </row>
    <row r="553" ht="15.75" customHeight="1">
      <c r="AK553" s="10"/>
    </row>
    <row r="554" ht="15.75" customHeight="1">
      <c r="AK554" s="10"/>
    </row>
    <row r="555" ht="15.75" customHeight="1">
      <c r="AK555" s="10"/>
    </row>
    <row r="556" ht="15.75" customHeight="1">
      <c r="AK556" s="10"/>
    </row>
    <row r="557" ht="15.75" customHeight="1">
      <c r="AK557" s="10"/>
    </row>
    <row r="558" ht="15.75" customHeight="1">
      <c r="AK558" s="10"/>
    </row>
    <row r="559" ht="15.75" customHeight="1">
      <c r="AK559" s="10"/>
    </row>
    <row r="560" ht="15.75" customHeight="1">
      <c r="AK560" s="10"/>
    </row>
    <row r="561" ht="15.75" customHeight="1">
      <c r="AK561" s="10"/>
    </row>
    <row r="562" ht="15.75" customHeight="1">
      <c r="AK562" s="10"/>
    </row>
    <row r="563" ht="15.75" customHeight="1">
      <c r="AK563" s="10"/>
    </row>
    <row r="564" ht="15.75" customHeight="1">
      <c r="AK564" s="10"/>
    </row>
    <row r="565" ht="15.75" customHeight="1">
      <c r="AK565" s="10"/>
    </row>
    <row r="566" ht="15.75" customHeight="1">
      <c r="AK566" s="10"/>
    </row>
    <row r="567" ht="15.75" customHeight="1">
      <c r="AK567" s="10"/>
    </row>
    <row r="568" ht="15.75" customHeight="1">
      <c r="AK568" s="10"/>
    </row>
    <row r="569" ht="15.75" customHeight="1">
      <c r="AK569" s="10"/>
    </row>
    <row r="570" ht="15.75" customHeight="1">
      <c r="AK570" s="10"/>
    </row>
    <row r="571" ht="15.75" customHeight="1">
      <c r="AK571" s="10"/>
    </row>
    <row r="572" ht="15.75" customHeight="1">
      <c r="AK572" s="10"/>
    </row>
    <row r="573" ht="15.75" customHeight="1">
      <c r="AK573" s="10"/>
    </row>
    <row r="574" ht="15.75" customHeight="1">
      <c r="AK574" s="10"/>
    </row>
    <row r="575" ht="15.75" customHeight="1">
      <c r="AK575" s="10"/>
    </row>
    <row r="576" ht="15.75" customHeight="1">
      <c r="AK576" s="10"/>
    </row>
    <row r="577" ht="15.75" customHeight="1">
      <c r="AK577" s="10"/>
    </row>
    <row r="578" ht="15.75" customHeight="1">
      <c r="AK578" s="10"/>
    </row>
    <row r="579" ht="15.75" customHeight="1">
      <c r="AK579" s="10"/>
    </row>
    <row r="580" ht="15.75" customHeight="1">
      <c r="AK580" s="10"/>
    </row>
    <row r="581" ht="15.75" customHeight="1">
      <c r="AK581" s="10"/>
    </row>
    <row r="582" ht="15.75" customHeight="1">
      <c r="AK582" s="10"/>
    </row>
    <row r="583" ht="15.75" customHeight="1">
      <c r="AK583" s="10"/>
    </row>
    <row r="584" ht="15.75" customHeight="1">
      <c r="AK584" s="10"/>
    </row>
    <row r="585" ht="15.75" customHeight="1">
      <c r="AK585" s="10"/>
    </row>
    <row r="586" ht="15.75" customHeight="1">
      <c r="AK586" s="10"/>
    </row>
    <row r="587" ht="15.75" customHeight="1">
      <c r="AK587" s="10"/>
    </row>
    <row r="588" ht="15.75" customHeight="1">
      <c r="AK588" s="10"/>
    </row>
    <row r="589" ht="15.75" customHeight="1">
      <c r="AK589" s="10"/>
    </row>
    <row r="590" ht="15.75" customHeight="1">
      <c r="AK590" s="10"/>
    </row>
    <row r="591" ht="15.75" customHeight="1">
      <c r="AK591" s="10"/>
    </row>
    <row r="592" ht="15.75" customHeight="1">
      <c r="AK592" s="10"/>
    </row>
    <row r="593" ht="15.75" customHeight="1">
      <c r="AK593" s="10"/>
    </row>
    <row r="594" ht="15.75" customHeight="1">
      <c r="AK594" s="10"/>
    </row>
    <row r="595" ht="15.75" customHeight="1">
      <c r="AK595" s="10"/>
    </row>
    <row r="596" ht="15.75" customHeight="1">
      <c r="AK596" s="10"/>
    </row>
    <row r="597" ht="15.75" customHeight="1">
      <c r="AK597" s="10"/>
    </row>
    <row r="598" ht="15.75" customHeight="1">
      <c r="AK598" s="10"/>
    </row>
    <row r="599" ht="15.75" customHeight="1">
      <c r="AK599" s="10"/>
    </row>
    <row r="600" ht="15.75" customHeight="1">
      <c r="AK600" s="10"/>
    </row>
    <row r="601" ht="15.75" customHeight="1">
      <c r="AK601" s="10"/>
    </row>
    <row r="602" ht="15.75" customHeight="1">
      <c r="AK602" s="10"/>
    </row>
    <row r="603" ht="15.75" customHeight="1">
      <c r="AK603" s="10"/>
    </row>
    <row r="604" ht="15.75" customHeight="1">
      <c r="AK604" s="10"/>
    </row>
    <row r="605" ht="15.75" customHeight="1">
      <c r="AK605" s="10"/>
    </row>
    <row r="606" ht="15.75" customHeight="1">
      <c r="AK606" s="10"/>
    </row>
    <row r="607" ht="15.75" customHeight="1">
      <c r="AK607" s="10"/>
    </row>
    <row r="608" ht="15.75" customHeight="1">
      <c r="AK608" s="10"/>
    </row>
    <row r="609" ht="15.75" customHeight="1">
      <c r="AK609" s="10"/>
    </row>
    <row r="610" ht="15.75" customHeight="1">
      <c r="AK610" s="10"/>
    </row>
    <row r="611" ht="15.75" customHeight="1">
      <c r="AK611" s="10"/>
    </row>
    <row r="612" ht="15.75" customHeight="1">
      <c r="AK612" s="10"/>
    </row>
    <row r="613" ht="15.75" customHeight="1">
      <c r="AK613" s="10"/>
    </row>
    <row r="614" ht="15.75" customHeight="1">
      <c r="AK614" s="10"/>
    </row>
    <row r="615" ht="15.75" customHeight="1">
      <c r="AK615" s="10"/>
    </row>
    <row r="616" ht="15.75" customHeight="1">
      <c r="AK616" s="10"/>
    </row>
    <row r="617" ht="15.75" customHeight="1">
      <c r="AK617" s="10"/>
    </row>
    <row r="618" ht="15.75" customHeight="1">
      <c r="AK618" s="10"/>
    </row>
    <row r="619" ht="15.75" customHeight="1">
      <c r="AK619" s="10"/>
    </row>
    <row r="620" ht="15.75" customHeight="1">
      <c r="AK620" s="10"/>
    </row>
    <row r="621" ht="15.75" customHeight="1">
      <c r="AK621" s="10"/>
    </row>
    <row r="622" ht="15.75" customHeight="1">
      <c r="AK622" s="10"/>
    </row>
    <row r="623" ht="15.75" customHeight="1">
      <c r="AK623" s="10"/>
    </row>
    <row r="624" ht="15.75" customHeight="1">
      <c r="AK624" s="10"/>
    </row>
    <row r="625" ht="15.75" customHeight="1">
      <c r="AK625" s="10"/>
    </row>
    <row r="626" ht="15.75" customHeight="1">
      <c r="AK626" s="10"/>
    </row>
    <row r="627" ht="15.75" customHeight="1">
      <c r="AK627" s="10"/>
    </row>
    <row r="628" ht="15.75" customHeight="1">
      <c r="AK628" s="10"/>
    </row>
    <row r="629" ht="15.75" customHeight="1">
      <c r="AK629" s="10"/>
    </row>
    <row r="630" ht="15.75" customHeight="1">
      <c r="AK630" s="10"/>
    </row>
    <row r="631" ht="15.75" customHeight="1">
      <c r="AK631" s="10"/>
    </row>
    <row r="632" ht="15.75" customHeight="1">
      <c r="AK632" s="10"/>
    </row>
    <row r="633" ht="15.75" customHeight="1">
      <c r="AK633" s="10"/>
    </row>
    <row r="634" ht="15.75" customHeight="1">
      <c r="AK634" s="10"/>
    </row>
    <row r="635" ht="15.75" customHeight="1">
      <c r="AK635" s="10"/>
    </row>
    <row r="636" ht="15.75" customHeight="1">
      <c r="AK636" s="10"/>
    </row>
    <row r="637" ht="15.75" customHeight="1">
      <c r="AK637" s="10"/>
    </row>
    <row r="638" ht="15.75" customHeight="1">
      <c r="AK638" s="10"/>
    </row>
    <row r="639" ht="15.75" customHeight="1">
      <c r="AK639" s="10"/>
    </row>
    <row r="640" ht="15.75" customHeight="1">
      <c r="AK640" s="10"/>
    </row>
    <row r="641" ht="15.75" customHeight="1">
      <c r="AK641" s="10"/>
    </row>
    <row r="642" ht="15.75" customHeight="1">
      <c r="AK642" s="10"/>
    </row>
    <row r="643" ht="15.75" customHeight="1">
      <c r="AK643" s="10"/>
    </row>
    <row r="644" ht="15.75" customHeight="1">
      <c r="AK644" s="10"/>
    </row>
    <row r="645" ht="15.75" customHeight="1">
      <c r="AK645" s="10"/>
    </row>
    <row r="646" ht="15.75" customHeight="1">
      <c r="AK646" s="10"/>
    </row>
    <row r="647" ht="15.75" customHeight="1">
      <c r="AK647" s="10"/>
    </row>
    <row r="648" ht="15.75" customHeight="1">
      <c r="AK648" s="10"/>
    </row>
    <row r="649" ht="15.75" customHeight="1">
      <c r="AK649" s="10"/>
    </row>
    <row r="650" ht="15.75" customHeight="1">
      <c r="AK650" s="10"/>
    </row>
    <row r="651" ht="15.75" customHeight="1">
      <c r="AK651" s="10"/>
    </row>
    <row r="652" ht="15.75" customHeight="1">
      <c r="AK652" s="10"/>
    </row>
    <row r="653" ht="15.75" customHeight="1">
      <c r="AK653" s="10"/>
    </row>
    <row r="654" ht="15.75" customHeight="1">
      <c r="AK654" s="10"/>
    </row>
    <row r="655" ht="15.75" customHeight="1">
      <c r="AK655" s="10"/>
    </row>
    <row r="656" ht="15.75" customHeight="1">
      <c r="AK656" s="10"/>
    </row>
    <row r="657" ht="15.75" customHeight="1">
      <c r="AK657" s="10"/>
    </row>
    <row r="658" ht="15.75" customHeight="1">
      <c r="AK658" s="10"/>
    </row>
    <row r="659" ht="15.75" customHeight="1">
      <c r="AK659" s="10"/>
    </row>
    <row r="660" ht="15.75" customHeight="1">
      <c r="AK660" s="10"/>
    </row>
    <row r="661" ht="15.75" customHeight="1">
      <c r="AK661" s="10"/>
    </row>
    <row r="662" ht="15.75" customHeight="1">
      <c r="AK662" s="10"/>
    </row>
    <row r="663" ht="15.75" customHeight="1">
      <c r="AK663" s="10"/>
    </row>
    <row r="664" ht="15.75" customHeight="1">
      <c r="AK664" s="10"/>
    </row>
    <row r="665" ht="15.75" customHeight="1">
      <c r="AK665" s="10"/>
    </row>
    <row r="666" ht="15.75" customHeight="1">
      <c r="AK666" s="10"/>
    </row>
    <row r="667" ht="15.75" customHeight="1">
      <c r="AK667" s="10"/>
    </row>
    <row r="668" ht="15.75" customHeight="1">
      <c r="AK668" s="10"/>
    </row>
    <row r="669" ht="15.75" customHeight="1">
      <c r="AK669" s="10"/>
    </row>
    <row r="670" ht="15.75" customHeight="1">
      <c r="AK670" s="10"/>
    </row>
    <row r="671" ht="15.75" customHeight="1">
      <c r="AK671" s="10"/>
    </row>
    <row r="672" ht="15.75" customHeight="1">
      <c r="AK672" s="10"/>
    </row>
    <row r="673" ht="15.75" customHeight="1">
      <c r="AK673" s="10"/>
    </row>
    <row r="674" ht="15.75" customHeight="1">
      <c r="AK674" s="10"/>
    </row>
    <row r="675" ht="15.75" customHeight="1">
      <c r="AK675" s="10"/>
    </row>
    <row r="676" ht="15.75" customHeight="1">
      <c r="AK676" s="10"/>
    </row>
    <row r="677" ht="15.75" customHeight="1">
      <c r="AK677" s="10"/>
    </row>
    <row r="678" ht="15.75" customHeight="1">
      <c r="AK678" s="10"/>
    </row>
    <row r="679" ht="15.75" customHeight="1">
      <c r="AK679" s="10"/>
    </row>
    <row r="680" ht="15.75" customHeight="1">
      <c r="AK680" s="10"/>
    </row>
    <row r="681" ht="15.75" customHeight="1">
      <c r="AK681" s="10"/>
    </row>
    <row r="682" ht="15.75" customHeight="1">
      <c r="AK682" s="10"/>
    </row>
    <row r="683" ht="15.75" customHeight="1">
      <c r="AK683" s="10"/>
    </row>
    <row r="684" ht="15.75" customHeight="1">
      <c r="AK684" s="10"/>
    </row>
    <row r="685" ht="15.75" customHeight="1">
      <c r="AK685" s="10"/>
    </row>
    <row r="686" ht="15.75" customHeight="1">
      <c r="AK686" s="10"/>
    </row>
    <row r="687" ht="15.75" customHeight="1">
      <c r="AK687" s="10"/>
    </row>
    <row r="688" ht="15.75" customHeight="1">
      <c r="AK688" s="10"/>
    </row>
    <row r="689" ht="15.75" customHeight="1">
      <c r="AK689" s="10"/>
    </row>
    <row r="690" ht="15.75" customHeight="1">
      <c r="AK690" s="10"/>
    </row>
    <row r="691" ht="15.75" customHeight="1">
      <c r="AK691" s="10"/>
    </row>
    <row r="692" ht="15.75" customHeight="1">
      <c r="AK692" s="10"/>
    </row>
    <row r="693" ht="15.75" customHeight="1">
      <c r="AK693" s="10"/>
    </row>
    <row r="694" ht="15.75" customHeight="1">
      <c r="AK694" s="10"/>
    </row>
    <row r="695" ht="15.75" customHeight="1">
      <c r="AK695" s="10"/>
    </row>
    <row r="696" ht="15.75" customHeight="1">
      <c r="AK696" s="10"/>
    </row>
    <row r="697" ht="15.75" customHeight="1">
      <c r="AK697" s="10"/>
    </row>
    <row r="698" ht="15.75" customHeight="1">
      <c r="AK698" s="10"/>
    </row>
    <row r="699" ht="15.75" customHeight="1">
      <c r="AK699" s="10"/>
    </row>
    <row r="700" ht="15.75" customHeight="1">
      <c r="AK700" s="10"/>
    </row>
    <row r="701" ht="15.75" customHeight="1">
      <c r="AK701" s="10"/>
    </row>
    <row r="702" ht="15.75" customHeight="1">
      <c r="AK702" s="10"/>
    </row>
    <row r="703" ht="15.75" customHeight="1">
      <c r="AK703" s="10"/>
    </row>
    <row r="704" ht="15.75" customHeight="1">
      <c r="AK704" s="10"/>
    </row>
    <row r="705" ht="15.75" customHeight="1">
      <c r="AK705" s="10"/>
    </row>
    <row r="706" ht="15.75" customHeight="1">
      <c r="AK706" s="10"/>
    </row>
    <row r="707" ht="15.75" customHeight="1">
      <c r="AK707" s="10"/>
    </row>
    <row r="708" ht="15.75" customHeight="1">
      <c r="AK708" s="10"/>
    </row>
    <row r="709" ht="15.75" customHeight="1">
      <c r="AK709" s="10"/>
    </row>
    <row r="710" ht="15.75" customHeight="1">
      <c r="AK710" s="10"/>
    </row>
    <row r="711" ht="15.75" customHeight="1">
      <c r="AK711" s="10"/>
    </row>
    <row r="712" ht="15.75" customHeight="1">
      <c r="AK712" s="10"/>
    </row>
    <row r="713" ht="15.75" customHeight="1">
      <c r="AK713" s="10"/>
    </row>
    <row r="714" ht="15.75" customHeight="1">
      <c r="AK714" s="10"/>
    </row>
    <row r="715" ht="15.75" customHeight="1">
      <c r="AK715" s="10"/>
    </row>
    <row r="716" ht="15.75" customHeight="1">
      <c r="AK716" s="10"/>
    </row>
    <row r="717" ht="15.75" customHeight="1">
      <c r="AK717" s="10"/>
    </row>
    <row r="718" ht="15.75" customHeight="1">
      <c r="AK718" s="10"/>
    </row>
    <row r="719" ht="15.75" customHeight="1">
      <c r="AK719" s="10"/>
    </row>
    <row r="720" ht="15.75" customHeight="1">
      <c r="AK720" s="10"/>
    </row>
    <row r="721" ht="15.75" customHeight="1">
      <c r="AK721" s="10"/>
    </row>
    <row r="722" ht="15.75" customHeight="1">
      <c r="AK722" s="10"/>
    </row>
    <row r="723" ht="15.75" customHeight="1">
      <c r="AK723" s="10"/>
    </row>
    <row r="724" ht="15.75" customHeight="1">
      <c r="AK724" s="10"/>
    </row>
    <row r="725" ht="15.75" customHeight="1">
      <c r="AK725" s="10"/>
    </row>
    <row r="726" ht="15.75" customHeight="1">
      <c r="AK726" s="10"/>
    </row>
    <row r="727" ht="15.75" customHeight="1">
      <c r="AK727" s="10"/>
    </row>
    <row r="728" ht="15.75" customHeight="1">
      <c r="AK728" s="10"/>
    </row>
    <row r="729" ht="15.75" customHeight="1">
      <c r="AK729" s="10"/>
    </row>
    <row r="730" ht="15.75" customHeight="1">
      <c r="AK730" s="10"/>
    </row>
    <row r="731" ht="15.75" customHeight="1">
      <c r="AK731" s="10"/>
    </row>
    <row r="732" ht="15.75" customHeight="1">
      <c r="AK732" s="10"/>
    </row>
    <row r="733" ht="15.75" customHeight="1">
      <c r="AK733" s="10"/>
    </row>
    <row r="734" ht="15.75" customHeight="1">
      <c r="AK734" s="10"/>
    </row>
    <row r="735" ht="15.75" customHeight="1">
      <c r="AK735" s="10"/>
    </row>
    <row r="736" ht="15.75" customHeight="1">
      <c r="AK736" s="10"/>
    </row>
    <row r="737" ht="15.75" customHeight="1">
      <c r="AK737" s="10"/>
    </row>
    <row r="738" ht="15.75" customHeight="1">
      <c r="AK738" s="10"/>
    </row>
    <row r="739" ht="15.75" customHeight="1">
      <c r="AK739" s="10"/>
    </row>
    <row r="740" ht="15.75" customHeight="1">
      <c r="AK740" s="10"/>
    </row>
    <row r="741" ht="15.75" customHeight="1">
      <c r="AK741" s="10"/>
    </row>
    <row r="742" ht="15.75" customHeight="1">
      <c r="AK742" s="10"/>
    </row>
    <row r="743" ht="15.75" customHeight="1">
      <c r="AK743" s="10"/>
    </row>
    <row r="744" ht="15.75" customHeight="1">
      <c r="AK744" s="10"/>
    </row>
    <row r="745" ht="15.75" customHeight="1">
      <c r="AK745" s="10"/>
    </row>
    <row r="746" ht="15.75" customHeight="1">
      <c r="AK746" s="10"/>
    </row>
    <row r="747" ht="15.75" customHeight="1">
      <c r="AK747" s="10"/>
    </row>
    <row r="748" ht="15.75" customHeight="1">
      <c r="AK748" s="10"/>
    </row>
    <row r="749" ht="15.75" customHeight="1">
      <c r="AK749" s="10"/>
    </row>
    <row r="750" ht="15.75" customHeight="1">
      <c r="AK750" s="10"/>
    </row>
    <row r="751" ht="15.75" customHeight="1">
      <c r="AK751" s="10"/>
    </row>
    <row r="752" ht="15.75" customHeight="1">
      <c r="AK752" s="10"/>
    </row>
    <row r="753" ht="15.75" customHeight="1">
      <c r="AK753" s="10"/>
    </row>
    <row r="754" ht="15.75" customHeight="1">
      <c r="AK754" s="10"/>
    </row>
    <row r="755" ht="15.75" customHeight="1">
      <c r="AK755" s="10"/>
    </row>
    <row r="756" ht="15.75" customHeight="1">
      <c r="AK756" s="10"/>
    </row>
    <row r="757" ht="15.75" customHeight="1">
      <c r="AK757" s="10"/>
    </row>
    <row r="758" ht="15.75" customHeight="1">
      <c r="AK758" s="10"/>
    </row>
    <row r="759" ht="15.75" customHeight="1">
      <c r="AK759" s="10"/>
    </row>
    <row r="760" ht="15.75" customHeight="1">
      <c r="AK760" s="10"/>
    </row>
    <row r="761" ht="15.75" customHeight="1">
      <c r="AK761" s="10"/>
    </row>
    <row r="762" ht="15.75" customHeight="1">
      <c r="AK762" s="10"/>
    </row>
    <row r="763" ht="15.75" customHeight="1">
      <c r="AK763" s="10"/>
    </row>
    <row r="764" ht="15.75" customHeight="1">
      <c r="AK764" s="10"/>
    </row>
    <row r="765" ht="15.75" customHeight="1">
      <c r="AK765" s="10"/>
    </row>
    <row r="766" ht="15.75" customHeight="1">
      <c r="AK766" s="10"/>
    </row>
    <row r="767" ht="15.75" customHeight="1">
      <c r="AK767" s="10"/>
    </row>
    <row r="768" ht="15.75" customHeight="1">
      <c r="AK768" s="10"/>
    </row>
    <row r="769" ht="15.75" customHeight="1">
      <c r="AK769" s="10"/>
    </row>
    <row r="770" ht="15.75" customHeight="1">
      <c r="AK770" s="10"/>
    </row>
    <row r="771" ht="15.75" customHeight="1">
      <c r="AK771" s="10"/>
    </row>
    <row r="772" ht="15.75" customHeight="1">
      <c r="AK772" s="10"/>
    </row>
    <row r="773" ht="15.75" customHeight="1">
      <c r="AK773" s="10"/>
    </row>
    <row r="774" ht="15.75" customHeight="1">
      <c r="AK774" s="10"/>
    </row>
    <row r="775" ht="15.75" customHeight="1">
      <c r="AK775" s="10"/>
    </row>
    <row r="776" ht="15.75" customHeight="1">
      <c r="AK776" s="10"/>
    </row>
    <row r="777" ht="15.75" customHeight="1">
      <c r="AK777" s="10"/>
    </row>
    <row r="778" ht="15.75" customHeight="1">
      <c r="AK778" s="10"/>
    </row>
    <row r="779" ht="15.75" customHeight="1">
      <c r="AK779" s="10"/>
    </row>
    <row r="780" ht="15.75" customHeight="1">
      <c r="AK780" s="10"/>
    </row>
    <row r="781" ht="15.75" customHeight="1">
      <c r="AK781" s="10"/>
    </row>
    <row r="782" ht="15.75" customHeight="1">
      <c r="AK782" s="10"/>
    </row>
    <row r="783" ht="15.75" customHeight="1">
      <c r="AK783" s="10"/>
    </row>
    <row r="784" ht="15.75" customHeight="1">
      <c r="AK784" s="10"/>
    </row>
    <row r="785" ht="15.75" customHeight="1">
      <c r="AK785" s="10"/>
    </row>
    <row r="786" ht="15.75" customHeight="1">
      <c r="AK786" s="10"/>
    </row>
    <row r="787" ht="15.75" customHeight="1">
      <c r="AK787" s="10"/>
    </row>
    <row r="788" ht="15.75" customHeight="1">
      <c r="AK788" s="10"/>
    </row>
    <row r="789" ht="15.75" customHeight="1">
      <c r="AK789" s="10"/>
    </row>
    <row r="790" ht="15.75" customHeight="1">
      <c r="AK790" s="10"/>
    </row>
    <row r="791" ht="15.75" customHeight="1">
      <c r="AK791" s="10"/>
    </row>
    <row r="792" ht="15.75" customHeight="1">
      <c r="AK792" s="10"/>
    </row>
    <row r="793" ht="15.75" customHeight="1">
      <c r="AK793" s="10"/>
    </row>
    <row r="794" ht="15.75" customHeight="1">
      <c r="AK794" s="10"/>
    </row>
    <row r="795" ht="15.75" customHeight="1">
      <c r="AK795" s="10"/>
    </row>
    <row r="796" ht="15.75" customHeight="1">
      <c r="AK796" s="10"/>
    </row>
    <row r="797" ht="15.75" customHeight="1">
      <c r="AK797" s="10"/>
    </row>
    <row r="798" ht="15.75" customHeight="1">
      <c r="AK798" s="10"/>
    </row>
    <row r="799" ht="15.75" customHeight="1">
      <c r="AK799" s="10"/>
    </row>
    <row r="800" ht="15.75" customHeight="1">
      <c r="AK800" s="10"/>
    </row>
    <row r="801" ht="15.75" customHeight="1">
      <c r="AK801" s="10"/>
    </row>
    <row r="802" ht="15.75" customHeight="1">
      <c r="AK802" s="10"/>
    </row>
    <row r="803" ht="15.75" customHeight="1">
      <c r="AK803" s="10"/>
    </row>
    <row r="804" ht="15.75" customHeight="1">
      <c r="AK804" s="10"/>
    </row>
    <row r="805" ht="15.75" customHeight="1">
      <c r="AK805" s="10"/>
    </row>
    <row r="806" ht="15.75" customHeight="1">
      <c r="AK806" s="10"/>
    </row>
    <row r="807" ht="15.75" customHeight="1">
      <c r="AK807" s="10"/>
    </row>
    <row r="808" ht="15.75" customHeight="1">
      <c r="AK808" s="10"/>
    </row>
    <row r="809" ht="15.75" customHeight="1">
      <c r="AK809" s="10"/>
    </row>
    <row r="810" ht="15.75" customHeight="1">
      <c r="AK810" s="10"/>
    </row>
    <row r="811" ht="15.75" customHeight="1">
      <c r="AK811" s="10"/>
    </row>
    <row r="812" ht="15.75" customHeight="1">
      <c r="AK812" s="10"/>
    </row>
    <row r="813" ht="15.75" customHeight="1">
      <c r="AK813" s="10"/>
    </row>
    <row r="814" ht="15.75" customHeight="1">
      <c r="AK814" s="10"/>
    </row>
    <row r="815" ht="15.75" customHeight="1">
      <c r="AK815" s="10"/>
    </row>
    <row r="816" ht="15.75" customHeight="1">
      <c r="AK816" s="10"/>
    </row>
    <row r="817" ht="15.75" customHeight="1">
      <c r="AK817" s="10"/>
    </row>
    <row r="818" ht="15.75" customHeight="1">
      <c r="AK818" s="10"/>
    </row>
    <row r="819" ht="15.75" customHeight="1">
      <c r="AK819" s="10"/>
    </row>
    <row r="820" ht="15.75" customHeight="1">
      <c r="AK820" s="10"/>
    </row>
    <row r="821" ht="15.75" customHeight="1">
      <c r="AK821" s="10"/>
    </row>
    <row r="822" ht="15.75" customHeight="1">
      <c r="AK822" s="10"/>
    </row>
    <row r="823" ht="15.75" customHeight="1">
      <c r="AK823" s="10"/>
    </row>
    <row r="824" ht="15.75" customHeight="1">
      <c r="AK824" s="10"/>
    </row>
    <row r="825" ht="15.75" customHeight="1">
      <c r="AK825" s="10"/>
    </row>
    <row r="826" ht="15.75" customHeight="1">
      <c r="AK826" s="10"/>
    </row>
    <row r="827" ht="15.75" customHeight="1">
      <c r="AK827" s="10"/>
    </row>
    <row r="828" ht="15.75" customHeight="1">
      <c r="AK828" s="10"/>
    </row>
    <row r="829" ht="15.75" customHeight="1">
      <c r="AK829" s="10"/>
    </row>
    <row r="830" ht="15.75" customHeight="1">
      <c r="AK830" s="10"/>
    </row>
    <row r="831" ht="15.75" customHeight="1">
      <c r="AK831" s="10"/>
    </row>
    <row r="832" ht="15.75" customHeight="1">
      <c r="AK832" s="10"/>
    </row>
    <row r="833" ht="15.75" customHeight="1">
      <c r="AK833" s="10"/>
    </row>
    <row r="834" ht="15.75" customHeight="1">
      <c r="AK834" s="10"/>
    </row>
    <row r="835" ht="15.75" customHeight="1">
      <c r="AK835" s="10"/>
    </row>
    <row r="836" ht="15.75" customHeight="1">
      <c r="AK836" s="10"/>
    </row>
    <row r="837" ht="15.75" customHeight="1">
      <c r="AK837" s="10"/>
    </row>
    <row r="838" ht="15.75" customHeight="1">
      <c r="AK838" s="10"/>
    </row>
    <row r="839" ht="15.75" customHeight="1">
      <c r="AK839" s="10"/>
    </row>
    <row r="840" ht="15.75" customHeight="1">
      <c r="AK840" s="10"/>
    </row>
    <row r="841" ht="15.75" customHeight="1">
      <c r="AK841" s="10"/>
    </row>
    <row r="842" ht="15.75" customHeight="1">
      <c r="AK842" s="10"/>
    </row>
    <row r="843" ht="15.75" customHeight="1">
      <c r="AK843" s="10"/>
    </row>
    <row r="844" ht="15.75" customHeight="1">
      <c r="AK844" s="10"/>
    </row>
    <row r="845" ht="15.75" customHeight="1">
      <c r="AK845" s="10"/>
    </row>
    <row r="846" ht="15.75" customHeight="1">
      <c r="AK846" s="10"/>
    </row>
    <row r="847" ht="15.75" customHeight="1">
      <c r="AK847" s="10"/>
    </row>
    <row r="848" ht="15.75" customHeight="1">
      <c r="AK848" s="10"/>
    </row>
    <row r="849" ht="15.75" customHeight="1">
      <c r="AK849" s="10"/>
    </row>
    <row r="850" ht="15.75" customHeight="1">
      <c r="AK850" s="10"/>
    </row>
    <row r="851" ht="15.75" customHeight="1">
      <c r="AK851" s="10"/>
    </row>
    <row r="852" ht="15.75" customHeight="1">
      <c r="AK852" s="10"/>
    </row>
    <row r="853" ht="15.75" customHeight="1">
      <c r="AK853" s="10"/>
    </row>
    <row r="854" ht="15.75" customHeight="1">
      <c r="AK854" s="10"/>
    </row>
    <row r="855" ht="15.75" customHeight="1">
      <c r="AK855" s="10"/>
    </row>
    <row r="856" ht="15.75" customHeight="1">
      <c r="AK856" s="10"/>
    </row>
    <row r="857" ht="15.75" customHeight="1">
      <c r="AK857" s="10"/>
    </row>
    <row r="858" ht="15.75" customHeight="1">
      <c r="AK858" s="10"/>
    </row>
    <row r="859" ht="15.75" customHeight="1">
      <c r="AK859" s="10"/>
    </row>
    <row r="860" ht="15.75" customHeight="1">
      <c r="AK860" s="10"/>
    </row>
    <row r="861" ht="15.75" customHeight="1">
      <c r="AK861" s="10"/>
    </row>
    <row r="862" ht="15.75" customHeight="1">
      <c r="AK862" s="10"/>
    </row>
    <row r="863" ht="15.75" customHeight="1">
      <c r="AK863" s="10"/>
    </row>
    <row r="864" ht="15.75" customHeight="1">
      <c r="AK864" s="10"/>
    </row>
    <row r="865" ht="15.75" customHeight="1">
      <c r="AK865" s="10"/>
    </row>
    <row r="866" ht="15.75" customHeight="1">
      <c r="AK866" s="10"/>
    </row>
    <row r="867" ht="15.75" customHeight="1">
      <c r="AK867" s="10"/>
    </row>
    <row r="868" ht="15.75" customHeight="1">
      <c r="AK868" s="10"/>
    </row>
    <row r="869" ht="15.75" customHeight="1">
      <c r="AK869" s="10"/>
    </row>
    <row r="870" ht="15.75" customHeight="1">
      <c r="AK870" s="10"/>
    </row>
    <row r="871" ht="15.75" customHeight="1">
      <c r="AK871" s="10"/>
    </row>
    <row r="872" ht="15.75" customHeight="1">
      <c r="AK872" s="10"/>
    </row>
    <row r="873" ht="15.75" customHeight="1">
      <c r="AK873" s="10"/>
    </row>
    <row r="874" ht="15.75" customHeight="1">
      <c r="AK874" s="10"/>
    </row>
    <row r="875" ht="15.75" customHeight="1">
      <c r="AK875" s="10"/>
    </row>
    <row r="876" ht="15.75" customHeight="1">
      <c r="AK876" s="10"/>
    </row>
    <row r="877" ht="15.75" customHeight="1">
      <c r="AK877" s="10"/>
    </row>
    <row r="878" ht="15.75" customHeight="1">
      <c r="AK878" s="10"/>
    </row>
    <row r="879" ht="15.75" customHeight="1">
      <c r="AK879" s="10"/>
    </row>
    <row r="880" ht="15.75" customHeight="1">
      <c r="AK880" s="10"/>
    </row>
    <row r="881" ht="15.75" customHeight="1">
      <c r="AK881" s="10"/>
    </row>
    <row r="882" ht="15.75" customHeight="1">
      <c r="AK882" s="10"/>
    </row>
    <row r="883" ht="15.75" customHeight="1">
      <c r="AK883" s="10"/>
    </row>
    <row r="884" ht="15.75" customHeight="1">
      <c r="AK884" s="10"/>
    </row>
    <row r="885" ht="15.75" customHeight="1">
      <c r="AK885" s="10"/>
    </row>
    <row r="886" ht="15.75" customHeight="1">
      <c r="AK886" s="10"/>
    </row>
    <row r="887" ht="15.75" customHeight="1">
      <c r="AK887" s="10"/>
    </row>
    <row r="888" ht="15.75" customHeight="1">
      <c r="AK888" s="10"/>
    </row>
    <row r="889" ht="15.75" customHeight="1">
      <c r="AK889" s="10"/>
    </row>
    <row r="890" ht="15.75" customHeight="1">
      <c r="AK890" s="10"/>
    </row>
    <row r="891" ht="15.75" customHeight="1">
      <c r="AK891" s="10"/>
    </row>
    <row r="892" ht="15.75" customHeight="1">
      <c r="AK892" s="10"/>
    </row>
    <row r="893" ht="15.75" customHeight="1">
      <c r="AK893" s="10"/>
    </row>
    <row r="894" ht="15.75" customHeight="1">
      <c r="AK894" s="10"/>
    </row>
    <row r="895" ht="15.75" customHeight="1">
      <c r="AK895" s="10"/>
    </row>
    <row r="896" ht="15.75" customHeight="1">
      <c r="AK896" s="10"/>
    </row>
    <row r="897" ht="15.75" customHeight="1">
      <c r="AK897" s="10"/>
    </row>
    <row r="898" ht="15.75" customHeight="1">
      <c r="AK898" s="10"/>
    </row>
    <row r="899" ht="15.75" customHeight="1">
      <c r="AK899" s="10"/>
    </row>
    <row r="900" ht="15.75" customHeight="1">
      <c r="AK900" s="10"/>
    </row>
    <row r="901" ht="15.75" customHeight="1">
      <c r="AK901" s="10"/>
    </row>
    <row r="902" ht="15.75" customHeight="1">
      <c r="AK902" s="10"/>
    </row>
    <row r="903" ht="15.75" customHeight="1">
      <c r="AK903" s="10"/>
    </row>
    <row r="904" ht="15.75" customHeight="1">
      <c r="AK904" s="10"/>
    </row>
    <row r="905" ht="15.75" customHeight="1">
      <c r="AK905" s="10"/>
    </row>
    <row r="906" ht="15.75" customHeight="1">
      <c r="AK906" s="10"/>
    </row>
    <row r="907" ht="15.75" customHeight="1">
      <c r="AK907" s="10"/>
    </row>
    <row r="908" ht="15.75" customHeight="1">
      <c r="AK908" s="10"/>
    </row>
    <row r="909" ht="15.75" customHeight="1">
      <c r="AK909" s="10"/>
    </row>
    <row r="910" ht="15.75" customHeight="1">
      <c r="AK910" s="10"/>
    </row>
    <row r="911" ht="15.75" customHeight="1">
      <c r="AK911" s="10"/>
    </row>
    <row r="912" ht="15.75" customHeight="1">
      <c r="AK912" s="10"/>
    </row>
    <row r="913" ht="15.75" customHeight="1">
      <c r="AK913" s="10"/>
    </row>
    <row r="914" ht="15.75" customHeight="1">
      <c r="AK914" s="10"/>
    </row>
    <row r="915" ht="15.75" customHeight="1">
      <c r="AK915" s="10"/>
    </row>
    <row r="916" ht="15.75" customHeight="1">
      <c r="AK916" s="10"/>
    </row>
    <row r="917" ht="15.75" customHeight="1">
      <c r="AK917" s="10"/>
    </row>
    <row r="918" ht="15.75" customHeight="1">
      <c r="AK918" s="10"/>
    </row>
    <row r="919" ht="15.75" customHeight="1">
      <c r="AK919" s="10"/>
    </row>
    <row r="920" ht="15.75" customHeight="1">
      <c r="AK920" s="10"/>
    </row>
    <row r="921" ht="15.75" customHeight="1">
      <c r="AK921" s="10"/>
    </row>
    <row r="922" ht="15.75" customHeight="1">
      <c r="AK922" s="10"/>
    </row>
    <row r="923" ht="15.75" customHeight="1">
      <c r="AK923" s="10"/>
    </row>
    <row r="924" ht="15.75" customHeight="1">
      <c r="AK924" s="10"/>
    </row>
    <row r="925" ht="15.75" customHeight="1">
      <c r="AK925" s="10"/>
    </row>
    <row r="926" ht="15.75" customHeight="1">
      <c r="AK926" s="10"/>
    </row>
    <row r="927" ht="15.75" customHeight="1">
      <c r="AK927" s="10"/>
    </row>
    <row r="928" ht="15.75" customHeight="1">
      <c r="AK928" s="10"/>
    </row>
    <row r="929" ht="15.75" customHeight="1">
      <c r="AK929" s="10"/>
    </row>
    <row r="930" ht="15.75" customHeight="1">
      <c r="AK930" s="10"/>
    </row>
    <row r="931" ht="15.75" customHeight="1">
      <c r="AK931" s="10"/>
    </row>
    <row r="932" ht="15.75" customHeight="1">
      <c r="AK932" s="10"/>
    </row>
    <row r="933" ht="15.75" customHeight="1">
      <c r="AK933" s="10"/>
    </row>
    <row r="934" ht="15.75" customHeight="1">
      <c r="AK934" s="10"/>
    </row>
    <row r="935" ht="15.75" customHeight="1">
      <c r="AK935" s="10"/>
    </row>
    <row r="936" ht="15.75" customHeight="1">
      <c r="AK936" s="10"/>
    </row>
    <row r="937" ht="15.75" customHeight="1">
      <c r="AK937" s="10"/>
    </row>
    <row r="938" ht="15.75" customHeight="1">
      <c r="AK938" s="10"/>
    </row>
    <row r="939" ht="15.75" customHeight="1">
      <c r="AK939" s="10"/>
    </row>
    <row r="940" ht="15.75" customHeight="1">
      <c r="AK940" s="10"/>
    </row>
    <row r="941" ht="15.75" customHeight="1">
      <c r="AK941" s="10"/>
    </row>
    <row r="942" ht="15.75" customHeight="1">
      <c r="AK942" s="10"/>
    </row>
    <row r="943" ht="15.75" customHeight="1">
      <c r="AK943" s="10"/>
    </row>
    <row r="944" ht="15.75" customHeight="1">
      <c r="AK944" s="10"/>
    </row>
    <row r="945" ht="15.75" customHeight="1">
      <c r="AK945" s="10"/>
    </row>
    <row r="946" ht="15.75" customHeight="1">
      <c r="AK946" s="10"/>
    </row>
    <row r="947" ht="15.75" customHeight="1">
      <c r="AK947" s="10"/>
    </row>
    <row r="948" ht="15.75" customHeight="1">
      <c r="AK948" s="10"/>
    </row>
    <row r="949" ht="15.75" customHeight="1">
      <c r="AK949" s="10"/>
    </row>
    <row r="950" ht="15.75" customHeight="1">
      <c r="AK950" s="10"/>
    </row>
    <row r="951" ht="15.75" customHeight="1">
      <c r="AK951" s="10"/>
    </row>
    <row r="952" ht="15.75" customHeight="1">
      <c r="AK952" s="10"/>
    </row>
    <row r="953" ht="15.75" customHeight="1">
      <c r="AK953" s="10"/>
    </row>
    <row r="954" ht="15.75" customHeight="1">
      <c r="AK954" s="10"/>
    </row>
    <row r="955" ht="15.75" customHeight="1">
      <c r="AK955" s="10"/>
    </row>
    <row r="956" ht="15.75" customHeight="1">
      <c r="AK956" s="10"/>
    </row>
    <row r="957" ht="15.75" customHeight="1">
      <c r="AK957" s="10"/>
    </row>
    <row r="958" ht="15.75" customHeight="1">
      <c r="AK958" s="10"/>
    </row>
    <row r="959" ht="15.75" customHeight="1">
      <c r="AK959" s="10"/>
    </row>
    <row r="960" ht="15.75" customHeight="1">
      <c r="AK960" s="10"/>
    </row>
    <row r="961" ht="15.75" customHeight="1">
      <c r="AK961" s="10"/>
    </row>
    <row r="962" ht="15.75" customHeight="1">
      <c r="AK962" s="10"/>
    </row>
    <row r="963" ht="15.75" customHeight="1">
      <c r="AK963" s="10"/>
    </row>
    <row r="964" ht="15.75" customHeight="1">
      <c r="AK964" s="10"/>
    </row>
    <row r="965" ht="15.75" customHeight="1">
      <c r="AK965" s="10"/>
    </row>
    <row r="966" ht="15.75" customHeight="1">
      <c r="AK966" s="10"/>
    </row>
    <row r="967" ht="15.75" customHeight="1">
      <c r="AK967" s="10"/>
    </row>
    <row r="968" ht="15.75" customHeight="1">
      <c r="AK968" s="10"/>
    </row>
    <row r="969" ht="15.75" customHeight="1">
      <c r="AK969" s="10"/>
    </row>
    <row r="970" ht="15.75" customHeight="1">
      <c r="AK970" s="10"/>
    </row>
    <row r="971" ht="15.75" customHeight="1">
      <c r="AK971" s="10"/>
    </row>
    <row r="972" ht="15.75" customHeight="1">
      <c r="AK972" s="10"/>
    </row>
    <row r="973" ht="15.75" customHeight="1">
      <c r="AK973" s="10"/>
    </row>
    <row r="974" ht="15.75" customHeight="1">
      <c r="AK974" s="10"/>
    </row>
    <row r="975" ht="15.75" customHeight="1">
      <c r="AK975" s="10"/>
    </row>
    <row r="976" ht="15.75" customHeight="1">
      <c r="AK976" s="10"/>
    </row>
    <row r="977" ht="15.75" customHeight="1">
      <c r="AK977" s="10"/>
    </row>
    <row r="978" ht="15.75" customHeight="1">
      <c r="AK978" s="10"/>
    </row>
    <row r="979" ht="15.75" customHeight="1">
      <c r="AK979" s="10"/>
    </row>
    <row r="980" ht="15.75" customHeight="1">
      <c r="AK980" s="10"/>
    </row>
    <row r="981" ht="15.75" customHeight="1">
      <c r="AK981" s="10"/>
    </row>
    <row r="982" ht="15.75" customHeight="1">
      <c r="AK982" s="10"/>
    </row>
    <row r="983" ht="15.75" customHeight="1">
      <c r="AK983" s="10"/>
    </row>
    <row r="984" ht="15.75" customHeight="1">
      <c r="AK984" s="10"/>
    </row>
    <row r="985" ht="15.75" customHeight="1">
      <c r="AK985" s="10"/>
    </row>
    <row r="986" ht="15.75" customHeight="1">
      <c r="AK986" s="10"/>
    </row>
    <row r="987" ht="15.75" customHeight="1">
      <c r="AK987" s="10"/>
    </row>
    <row r="988" ht="15.75" customHeight="1">
      <c r="AK988" s="10"/>
    </row>
    <row r="989" ht="15.75" customHeight="1">
      <c r="AK989" s="10"/>
    </row>
    <row r="990" ht="15.75" customHeight="1">
      <c r="AK990" s="10"/>
    </row>
    <row r="991" ht="15.75" customHeight="1">
      <c r="AK991" s="10"/>
    </row>
    <row r="992" ht="15.75" customHeight="1">
      <c r="AK992" s="10"/>
    </row>
    <row r="993" ht="15.75" customHeight="1">
      <c r="AK993" s="10"/>
    </row>
    <row r="994" ht="15.75" customHeight="1">
      <c r="AK994" s="10"/>
    </row>
    <row r="995" ht="15.75" customHeight="1">
      <c r="AK995" s="10"/>
    </row>
    <row r="996" ht="15.75" customHeight="1">
      <c r="AK996" s="10"/>
    </row>
    <row r="997" ht="15.75" customHeight="1">
      <c r="AK997" s="10"/>
    </row>
    <row r="998" ht="15.75" customHeight="1">
      <c r="AK998" s="10"/>
    </row>
    <row r="999" ht="15.75" customHeight="1">
      <c r="AK999" s="10"/>
    </row>
    <row r="1000" ht="15.75" customHeight="1">
      <c r="AK1000" s="10"/>
    </row>
  </sheetData>
  <autoFilter ref="$C$2:$C$134"/>
  <hyperlinks>
    <hyperlink r:id="rId2" location="/food-details/169190/nutrients" ref="A3"/>
    <hyperlink r:id="rId3" ref="A4"/>
    <hyperlink r:id="rId4" location="/food-details/171105/nutrients" ref="A5"/>
    <hyperlink r:id="rId5" location="/food-details/167813/nutrients" ref="A6"/>
    <hyperlink r:id="rId6" location="/food-details/172855/nutrients" ref="A7"/>
    <hyperlink r:id="rId7" location="/food-details/168224/nutrients" ref="A8"/>
    <hyperlink r:id="rId8" location="/food-details/167888/nutrients" ref="A10"/>
    <hyperlink r:id="rId9" ref="A12"/>
    <hyperlink r:id="rId10" ref="A13"/>
    <hyperlink r:id="rId11" location="/food-details/614990/nutrients" ref="A14"/>
    <hyperlink r:id="rId12" location="/food-details/175290/nutrients" ref="A15"/>
    <hyperlink r:id="rId13" location="/food-details/2646170/nutrients" ref="A17"/>
    <hyperlink r:id="rId14" location="/food-details/2341308/nutrients" ref="A18"/>
    <hyperlink r:id="rId15" ref="A19"/>
    <hyperlink r:id="rId16" location="/food-details/168269/nutrients" ref="A20"/>
    <hyperlink r:id="rId17" location="/food-details/167812/nutrients" ref="A21"/>
    <hyperlink r:id="rId18" ref="A22"/>
    <hyperlink r:id="rId19" location="/food-details/173647/nutrients" ref="A39"/>
    <hyperlink r:id="rId20" location="/food-details/172237/nutrients" ref="A58"/>
    <hyperlink r:id="rId21" location="/food-details/169246/nutrients" ref="A71"/>
    <hyperlink r:id="rId22" location="/food-details/170461/nutrients" ref="A72"/>
    <hyperlink r:id="rId23" location="/food-details/170932/nutrients" ref="A73"/>
    <hyperlink r:id="rId24" ref="A75"/>
  </hyperlinks>
  <printOptions/>
  <pageMargins bottom="0.75" footer="0.0" header="0.0" left="0.7" right="0.7" top="0.75"/>
  <pageSetup orientation="landscape"/>
  <drawing r:id="rId25"/>
  <legacyDrawing r:id="rId26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2024-07-16T15:29:37Z</dcterms:created>
  <dc:creator>Carlos Urrego Tangarife</dc:creator>
</cp:coreProperties>
</file>